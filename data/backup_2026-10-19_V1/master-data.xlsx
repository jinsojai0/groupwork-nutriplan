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README" sheetId="1" state="visible" r:id="rId3"/>
    <sheet name="_summary" sheetId="2" state="visible" r:id="rId4"/>
    <sheet name="categories" sheetId="3" state="visible" r:id="rId5"/>
    <sheet name="vendor_types" sheetId="4" state="visible" r:id="rId6"/>
    <sheet name="activity_levels" sheetId="5" state="visible" r:id="rId7"/>
    <sheet name="health_goals" sheetId="6" state="visible" r:id="rId8"/>
    <sheet name="nutrient_limits" sheetId="7" state="visible" r:id="rId9"/>
    <sheet name="menus" sheetId="8" state="visible" r:id="rId10"/>
    <sheet name="articles" sheetId="9" state="visible" r:id="rId11"/>
    <sheet name="menu_images" sheetId="10" state="visible" r:id="rId12"/>
    <sheet name="sources" sheetId="11" state="visible" r:id="rId13"/>
    <sheet name="users" sheetId="12" state="visible" r:id="rId14"/>
    <sheet name="user_targets" sheetId="13" state="visible" r:id="rId15"/>
    <sheet name="meal_log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<sst xmlns="http://schemas.openxmlformats.org/spreadsheetml/2006/main" count="8481" uniqueCount="2162">
  <si>
    <t xml:space="preserve">Master Dataset ของโครงงาน NutriPlan (งานที่ 4 DADD)</t>
  </si>
  <si>
    <t xml:space="preserve">โครงสร้าง: 12 ชีตข้อมูล ชื่อชีตตรงกับชื่อ Node ใน Firebase และชื่อคอลัมน์ตรงกับพจนานุกรมข้อมูลในรายงานหัวข้อ 3</t>
  </si>
  <si>
    <t xml:space="preserve">  ข้อมูลอ้างอิง (Lookup): categories, vendor_types, activity_levels, health_goals, nutrient_limits</t>
  </si>
  <si>
    <t xml:space="preserve">  ข้อมูลหลัก (Master): menus, articles, menu_images, sources, users</t>
  </si>
  <si>
    <t xml:space="preserve">  ข้อมูลธุรกรรม (Transaction): user_targets, meal_logs</t>
  </si>
  <si>
    <t xml:space="preserve">ชีต _summary คำนวณตัวชี้วัดด้วยสูตร จึงอัปเดตอัตโนมัติเมื่อแก้ไขข้อมูล</t>
  </si>
  <si>
    <t xml:space="preserve">ชีต user_targets เป็นสูตรทั้งหมด (ยกเว้น calculated_at) คำนวณจากชีต users</t>
  </si>
  <si>
    <t xml:space="preserve">หลักการบันทึกข้อมูล</t>
  </si>
  <si>
    <t xml:space="preserve">  • รหัสข้อมูลตัวพิมพ์เล็ก ใช้เป็นคีย์ JSON ได้ทันที (ไม่มี . $ # [ ] /)</t>
  </si>
  <si>
    <t xml:space="preserve">  • ข้อมูลหลายค่าในเซลล์เดียว (tags, source_ids) คั่นด้วย |  ส่วน key_points คั่นด้วย " | "</t>
  </si>
  <si>
    <t xml:space="preserve">  • วันที่ใช้ ISO 8601 (YYYY-MM-DD) ยกเว้น birth_year เป็นปี พ.ศ.</t>
  </si>
  <si>
    <t xml:space="preserve">  • คอลัมน์ที่มีค่ามาตรฐานตั้ง Data Validation ไว้ เช่น category_id, verification_status, meal_type, role</t>
  </si>
  <si>
    <t xml:space="preserve">แหล่งที่มาของข้อมูล</t>
  </si>
  <si>
    <t xml:space="preserve">  • categories, vendor_types, menus, articles, nutrient_limits, activity_levels, health_goals: ชุดเดียวกับ firebase/nutriplan-firebase.json ที่นำเข้า Firebase ในงานที่ 5</t>
  </si>
  <si>
    <t xml:space="preserve">  • sources: ทะเบียน 17 แหล่งตามตาราง 4.1 ของรายงาน</t>
  </si>
  <si>
    <t xml:space="preserve">  • menu_images: ภาพเมนู 49 รายการ (src_10) สัญญาอนุญาตรายไฟล์ตาม images/menus/image_credits.csv และภาพปกบทความ 12 รายการ (src_09)</t>
  </si>
  <si>
    <t xml:space="preserve">  • users, user_targets, meal_logs: ข้อมูลจำลอง (src_15) สร้างด้วยสคริปต์ seed คงที่ ใช้ทดสอบการคำนวณเท่านั้น ไม่นำเข้าฐานข้อมูลจริง</t>
  </si>
  <si>
    <t xml:space="preserve">รายการที่ยังต้องดำเนินการ</t>
  </si>
  <si>
    <t xml:space="preserve">  • สอบทานค่าโภชนาการทั้ง 49 เมนูกับฐานข้อมูลองค์ประกอบอาหารไทย แล้วเปลี่ยน verification_status เป็น VERIFIED</t>
  </si>
  <si>
    <t xml:space="preserve">  • ออกแบบภาพปกบทความ 12 ไฟล์ แล้วเปลี่ยน status ในชีต menu_images เป็น DONE</t>
  </si>
  <si>
    <t xml:space="preserve">  • ค่าโภชนาการเป็นค่าประมาณต่อจาน ที่มาของค่ารายเมนูจะบันทึกระหว่างขั้นสอบทาน</t>
  </si>
  <si>
    <t xml:space="preserve">ตัวชี้วัด</t>
  </si>
  <si>
    <t xml:space="preserve">ค่า</t>
  </si>
  <si>
    <t xml:space="preserve">สูตร/หมายเหตุ</t>
  </si>
  <si>
    <t xml:space="preserve">จำนวนแถว categories</t>
  </si>
  <si>
    <t xml:space="preserve">COUNTA ของคอลัมน์รหัส</t>
  </si>
  <si>
    <t xml:space="preserve">จำนวนแถว vendor_types</t>
  </si>
  <si>
    <t xml:space="preserve">จำนวนแถว activity_levels</t>
  </si>
  <si>
    <t xml:space="preserve">จำนวนแถว health_goals</t>
  </si>
  <si>
    <t xml:space="preserve">จำนวนแถว nutrient_limits</t>
  </si>
  <si>
    <t xml:space="preserve">จำนวนแถว menus</t>
  </si>
  <si>
    <t xml:space="preserve">จำนวนแถว articles</t>
  </si>
  <si>
    <t xml:space="preserve">จำนวนแถว menu_images</t>
  </si>
  <si>
    <t xml:space="preserve">จำนวนแถว sources</t>
  </si>
  <si>
    <t xml:space="preserve">จำนวนแถว users</t>
  </si>
  <si>
    <t xml:space="preserve">จำนวนแถว user_targets</t>
  </si>
  <si>
    <t xml:space="preserve">จำนวนแถว meal_logs</t>
  </si>
  <si>
    <t xml:space="preserve">รวมทุกชีต</t>
  </si>
  <si>
    <t xml:space="preserve">เมนูที่ยัง PENDING</t>
  </si>
  <si>
    <t xml:space="preserve">ภาพเมนูสถานะ DONE</t>
  </si>
  <si>
    <t xml:space="preserve">ภาพปกบทความสถานะ TODO</t>
  </si>
  <si>
    <t xml:space="preserve">จำนวนวัน-ผู้ใช้ที่มีการบันทึก (ดูชีต meal_logs)</t>
  </si>
  <si>
    <t xml:space="preserve">คู่ user_id + log_date ที่ไม่ซ้ำ</t>
  </si>
  <si>
    <t xml:space="preserve">หมวดอาหาร</t>
  </si>
  <si>
    <t xml:space="preserve">จำนวนเมนู</t>
  </si>
  <si>
    <t xml:space="preserve">พลังงานเฉลี่ย (kcal)</t>
  </si>
  <si>
    <t xml:space="preserve">โซเดียมเฉลี่ย (มก.)</t>
  </si>
  <si>
    <t xml:space="preserve">รวม / เฉลี่ยทั้งหมด</t>
  </si>
  <si>
    <t xml:space="preserve">category_id</t>
  </si>
  <si>
    <t xml:space="preserve">name_th</t>
  </si>
  <si>
    <t xml:space="preserve">name_en</t>
  </si>
  <si>
    <t xml:space="preserve">description</t>
  </si>
  <si>
    <t xml:space="preserve">icon_file</t>
  </si>
  <si>
    <t xml:space="preserve">color_hex</t>
  </si>
  <si>
    <t xml:space="preserve">sort_order</t>
  </si>
  <si>
    <t xml:space="preserve">cat_rice</t>
  </si>
  <si>
    <t xml:space="preserve">ข้าวจานเดียว</t>
  </si>
  <si>
    <t xml:space="preserve">Rice Dishes</t>
  </si>
  <si>
    <t xml:space="preserve">ข้าวราดหน้าหรือข้าวพร้อมกับข้าวในจานเดียว</t>
  </si>
  <si>
    <t xml:space="preserve">icon_cat_rice.svg</t>
  </si>
  <si>
    <t xml:space="preserve">#C2410C</t>
  </si>
  <si>
    <t xml:space="preserve">cat_stir</t>
  </si>
  <si>
    <t xml:space="preserve">ข้าวผัด/ตามสั่ง</t>
  </si>
  <si>
    <t xml:space="preserve">Stir-fried Dishes</t>
  </si>
  <si>
    <t xml:space="preserve">อาหารผัดสั่งทำสดราดข้าว</t>
  </si>
  <si>
    <t xml:space="preserve">icon_cat_stir.svg</t>
  </si>
  <si>
    <t xml:space="preserve">#B45309</t>
  </si>
  <si>
    <t xml:space="preserve">cat_noodle</t>
  </si>
  <si>
    <t xml:space="preserve">ก๋วยเตี๋ยวและเส้น</t>
  </si>
  <si>
    <t xml:space="preserve">Noodle Dishes</t>
  </si>
  <si>
    <t xml:space="preserve">อาหารประเภทเส้นทั้งน้ำและแห้ง</t>
  </si>
  <si>
    <t xml:space="preserve">icon_cat_noodle.svg</t>
  </si>
  <si>
    <t xml:space="preserve">#0F766E</t>
  </si>
  <si>
    <t xml:space="preserve">cat_isaan</t>
  </si>
  <si>
    <t xml:space="preserve">อาหารอีสาน</t>
  </si>
  <si>
    <t xml:space="preserve">Isan Food</t>
  </si>
  <si>
    <t xml:space="preserve">ส้มตำ ลาบ ย่าง และอาหารอีสานทั่วไป</t>
  </si>
  <si>
    <t xml:space="preserve">icon_cat_isaan.svg</t>
  </si>
  <si>
    <t xml:space="preserve">#15803D</t>
  </si>
  <si>
    <t xml:space="preserve">cat_curry</t>
  </si>
  <si>
    <t xml:space="preserve">แกงและกับข้าว</t>
  </si>
  <si>
    <t xml:space="preserve">Curry and Side Dish</t>
  </si>
  <si>
    <t xml:space="preserve">แกง ต้ม ผัดผัก ที่สั่งเป็นกับข้าว</t>
  </si>
  <si>
    <t xml:space="preserve">icon_cat_curry.svg</t>
  </si>
  <si>
    <t xml:space="preserve">#A16207</t>
  </si>
  <si>
    <t xml:space="preserve">cat_drink</t>
  </si>
  <si>
    <t xml:space="preserve">เครื่องดื่ม</t>
  </si>
  <si>
    <t xml:space="preserve">Beverages</t>
  </si>
  <si>
    <t xml:space="preserve">เครื่องดื่มที่สั่งคู่กับมื้ออาหาร</t>
  </si>
  <si>
    <t xml:space="preserve">icon_cat_drink.svg</t>
  </si>
  <si>
    <t xml:space="preserve">#1D4ED8</t>
  </si>
  <si>
    <t xml:space="preserve">cat_dessert</t>
  </si>
  <si>
    <t xml:space="preserve">ของหวานและผลไม้</t>
  </si>
  <si>
    <t xml:space="preserve">Dessert and Fruit</t>
  </si>
  <si>
    <t xml:space="preserve">ของหวานและผลไม้ที่รับประทานหลังมื้ออาหาร</t>
  </si>
  <si>
    <t xml:space="preserve">icon_cat_dessert.svg</t>
  </si>
  <si>
    <t xml:space="preserve">#BE185D</t>
  </si>
  <si>
    <t xml:space="preserve">cat_side</t>
  </si>
  <si>
    <t xml:space="preserve">ข้าวและเครื่องเคียง</t>
  </si>
  <si>
    <t xml:space="preserve">Staple and Side</t>
  </si>
  <si>
    <t xml:space="preserve">ข้าวสวย ข้าวเหนียว และเครื่องเคียงแยกจาน</t>
  </si>
  <si>
    <t xml:space="preserve">icon_cat_side.svg</t>
  </si>
  <si>
    <t xml:space="preserve">#4D7C0F</t>
  </si>
  <si>
    <t xml:space="preserve">vendor_type_id</t>
  </si>
  <si>
    <t xml:space="preserve">shop_tamsang</t>
  </si>
  <si>
    <t xml:space="preserve">ร้านอาหารตามสั่ง</t>
  </si>
  <si>
    <t xml:space="preserve">Made-to-order Shop</t>
  </si>
  <si>
    <t xml:space="preserve">shop_rice</t>
  </si>
  <si>
    <t xml:space="preserve">ร้านข้าวจานเดียว</t>
  </si>
  <si>
    <t xml:space="preserve">Single-dish Rice Shop</t>
  </si>
  <si>
    <t xml:space="preserve">shop_noodle</t>
  </si>
  <si>
    <t xml:space="preserve">ร้านก๋วยเตี๋ยว</t>
  </si>
  <si>
    <t xml:space="preserve">Noodle Shop</t>
  </si>
  <si>
    <t xml:space="preserve">shop_isaan</t>
  </si>
  <si>
    <t xml:space="preserve">ร้านส้มตำ/อาหารอีสาน</t>
  </si>
  <si>
    <t xml:space="preserve">Isan Food Shop</t>
  </si>
  <si>
    <t xml:space="preserve">shop_curry</t>
  </si>
  <si>
    <t xml:space="preserve">ร้านข้าวราดแกง</t>
  </si>
  <si>
    <t xml:space="preserve">Curry-over-rice Shop</t>
  </si>
  <si>
    <t xml:space="preserve">shop_drink</t>
  </si>
  <si>
    <t xml:space="preserve">ร้านเครื่องดื่ม</t>
  </si>
  <si>
    <t xml:space="preserve">Beverage Stall</t>
  </si>
  <si>
    <t xml:space="preserve">shop_dessert</t>
  </si>
  <si>
    <t xml:space="preserve">ร้านของหวาน/ผลไม้</t>
  </si>
  <si>
    <t xml:space="preserve">Dessert and Fruit Stall</t>
  </si>
  <si>
    <t xml:space="preserve">activity_id</t>
  </si>
  <si>
    <t xml:space="preserve">pal_factor</t>
  </si>
  <si>
    <t xml:space="preserve">example</t>
  </si>
  <si>
    <t xml:space="preserve">act_sedentary</t>
  </si>
  <si>
    <t xml:space="preserve">นั่งทำงานเป็นหลัก ไม่ออกกำลังกาย</t>
  </si>
  <si>
    <t xml:space="preserve">นั่งเรียนหรือนั่งทำงานเกือบทั้งวัน</t>
  </si>
  <si>
    <t xml:space="preserve">act_light</t>
  </si>
  <si>
    <t xml:space="preserve">ออกกำลังกายเบา 1-3 วันต่อสัปดาห์</t>
  </si>
  <si>
    <t xml:space="preserve">เดินระหว่างตึกเรียน ออกกำลังกายเบาบ้าง</t>
  </si>
  <si>
    <t xml:space="preserve">act_moderate</t>
  </si>
  <si>
    <t xml:space="preserve">ออกกำลังกายปานกลาง 3-5 วันต่อสัปดาห์</t>
  </si>
  <si>
    <t xml:space="preserve">ออกกำลังกายสม่ำเสมอหรือทำงานที่ต้องยืนเดิน</t>
  </si>
  <si>
    <t xml:space="preserve">act_active</t>
  </si>
  <si>
    <t xml:space="preserve">ออกกำลังกายหนัก 6-7 วันต่อสัปดาห์</t>
  </si>
  <si>
    <t xml:space="preserve">เล่นกีฬาหรือเข้ายิมเกือบทุกวัน</t>
  </si>
  <si>
    <t xml:space="preserve">act_very</t>
  </si>
  <si>
    <t xml:space="preserve">ออกกำลังกายหนักมากหรือใช้แรงงาน</t>
  </si>
  <si>
    <t xml:space="preserve">นักกีฬาหรือผู้ใช้แรงงานหนัก</t>
  </si>
  <si>
    <t xml:space="preserve">goal_id</t>
  </si>
  <si>
    <t xml:space="preserve">kcal_adjust</t>
  </si>
  <si>
    <t xml:space="preserve">goal_lose</t>
  </si>
  <si>
    <t xml:space="preserve">ลดน้ำหนัก</t>
  </si>
  <si>
    <t xml:space="preserve">ลดพลังงานจาก TDEE วันละ 500 กิโลแคลอรี</t>
  </si>
  <si>
    <t xml:space="preserve">goal_maintain</t>
  </si>
  <si>
    <t xml:space="preserve">คงน้ำหนัก</t>
  </si>
  <si>
    <t xml:space="preserve">รับพลังงานเท่ากับ TDEE</t>
  </si>
  <si>
    <t xml:space="preserve">goal_gain</t>
  </si>
  <si>
    <t xml:space="preserve">เพิ่มน้ำหนัก</t>
  </si>
  <si>
    <t xml:space="preserve">เพิ่มพลังงานจาก TDEE วันละ 300 กิโลแคลอรี</t>
  </si>
  <si>
    <t xml:space="preserve">nutrient_key</t>
  </si>
  <si>
    <t xml:space="preserve">unit</t>
  </si>
  <si>
    <t xml:space="preserve">limit_type</t>
  </si>
  <si>
    <t xml:space="preserve">limit_value</t>
  </si>
  <si>
    <t xml:space="preserve">source_id</t>
  </si>
  <si>
    <t xml:space="preserve">article_id</t>
  </si>
  <si>
    <t xml:space="preserve">energy_kcal</t>
  </si>
  <si>
    <t xml:space="preserve">พลังงาน</t>
  </si>
  <si>
    <t xml:space="preserve">Energy</t>
  </si>
  <si>
    <t xml:space="preserve">kcal</t>
  </si>
  <si>
    <t xml:space="preserve">personal</t>
  </si>
  <si>
    <t xml:space="preserve">src_05</t>
  </si>
  <si>
    <t xml:space="preserve">article_01</t>
  </si>
  <si>
    <t xml:space="preserve">protein_g</t>
  </si>
  <si>
    <t xml:space="preserve">โปรตีน</t>
  </si>
  <si>
    <t xml:space="preserve">Protein</t>
  </si>
  <si>
    <t xml:space="preserve">g</t>
  </si>
  <si>
    <t xml:space="preserve">per_kg</t>
  </si>
  <si>
    <t xml:space="preserve">src_02</t>
  </si>
  <si>
    <t xml:space="preserve">article_05</t>
  </si>
  <si>
    <t xml:space="preserve">fat_g</t>
  </si>
  <si>
    <t xml:space="preserve">ไขมัน</t>
  </si>
  <si>
    <t xml:space="preserve">Fat</t>
  </si>
  <si>
    <t xml:space="preserve">info</t>
  </si>
  <si>
    <t xml:space="preserve">article_09</t>
  </si>
  <si>
    <t xml:space="preserve">carb_g</t>
  </si>
  <si>
    <t xml:space="preserve">คาร์โบไฮเดรต</t>
  </si>
  <si>
    <t xml:space="preserve">Carbohydrate</t>
  </si>
  <si>
    <t xml:space="preserve">article_07</t>
  </si>
  <si>
    <t xml:space="preserve">sugar_g</t>
  </si>
  <si>
    <t xml:space="preserve">น้ำตาล</t>
  </si>
  <si>
    <t xml:space="preserve">Sugar</t>
  </si>
  <si>
    <t xml:space="preserve">max</t>
  </si>
  <si>
    <t xml:space="preserve">src_04</t>
  </si>
  <si>
    <t xml:space="preserve">article_04</t>
  </si>
  <si>
    <t xml:space="preserve">fiber_g</t>
  </si>
  <si>
    <t xml:space="preserve">ใยอาหาร</t>
  </si>
  <si>
    <t xml:space="preserve">Dietary Fiber</t>
  </si>
  <si>
    <t xml:space="preserve">min</t>
  </si>
  <si>
    <t xml:space="preserve">article_06</t>
  </si>
  <si>
    <t xml:space="preserve">sodium_mg</t>
  </si>
  <si>
    <t xml:space="preserve">โซเดียม</t>
  </si>
  <si>
    <t xml:space="preserve">Sodium</t>
  </si>
  <si>
    <t xml:space="preserve">mg</t>
  </si>
  <si>
    <t xml:space="preserve">src_03</t>
  </si>
  <si>
    <t xml:space="preserve">article_03</t>
  </si>
  <si>
    <t xml:space="preserve">menu_id</t>
  </si>
  <si>
    <t xml:space="preserve">serving_desc</t>
  </si>
  <si>
    <t xml:space="preserve">serving_g</t>
  </si>
  <si>
    <t xml:space="preserve">price_thb</t>
  </si>
  <si>
    <t xml:space="preserve">is_vegetarian</t>
  </si>
  <si>
    <t xml:space="preserve">spicy_level</t>
  </si>
  <si>
    <t xml:space="preserve">tags</t>
  </si>
  <si>
    <t xml:space="preserve">image_thumb</t>
  </si>
  <si>
    <t xml:space="preserve">image_detail</t>
  </si>
  <si>
    <t xml:space="preserve">verification_status</t>
  </si>
  <si>
    <t xml:space="preserve">updated_at</t>
  </si>
  <si>
    <t xml:space="preserve">menu_001</t>
  </si>
  <si>
    <t xml:space="preserve">ข้าวมันไก่</t>
  </si>
  <si>
    <t xml:space="preserve">Hainanese Chicken Rice</t>
  </si>
  <si>
    <t xml:space="preserve">1 จาน</t>
  </si>
  <si>
    <t xml:space="preserve">ไก่|ข้าว|มื้อกลางวัน</t>
  </si>
  <si>
    <t xml:space="preserve">images/menus/menu_001_thumb.webp</t>
  </si>
  <si>
    <t xml:space="preserve">images/menus/menu_001_detail.webp</t>
  </si>
  <si>
    <t xml:space="preserve">src_01</t>
  </si>
  <si>
    <t xml:space="preserve">PENDING</t>
  </si>
  <si>
    <t xml:space="preserve">2026-09-20</t>
  </si>
  <si>
    <t xml:space="preserve">menu_002</t>
  </si>
  <si>
    <t xml:space="preserve">ข้าวหมูแดง</t>
  </si>
  <si>
    <t xml:space="preserve">Red Pork with Rice</t>
  </si>
  <si>
    <t xml:space="preserve">หมู|ข้าว</t>
  </si>
  <si>
    <t xml:space="preserve">images/menus/menu_002_thumb.webp</t>
  </si>
  <si>
    <t xml:space="preserve">images/menus/menu_002_detail.webp</t>
  </si>
  <si>
    <t xml:space="preserve">menu_003</t>
  </si>
  <si>
    <t xml:space="preserve">ข้าวขาหมู</t>
  </si>
  <si>
    <t xml:space="preserve">Stewed Pork Leg with Rice</t>
  </si>
  <si>
    <t xml:space="preserve">หมู|ข้าว|ไขมันสูง</t>
  </si>
  <si>
    <t xml:space="preserve">images/menus/menu_003_thumb.webp</t>
  </si>
  <si>
    <t xml:space="preserve">images/menus/menu_003_detail.webp</t>
  </si>
  <si>
    <t xml:space="preserve">menu_004</t>
  </si>
  <si>
    <t xml:space="preserve">ข้าวหน้าเป็ด</t>
  </si>
  <si>
    <t xml:space="preserve">Roasted Duck with Rice</t>
  </si>
  <si>
    <t xml:space="preserve">เป็ด|ข้าว|โปรตีนสูง</t>
  </si>
  <si>
    <t xml:space="preserve">images/menus/menu_004_thumb.webp</t>
  </si>
  <si>
    <t xml:space="preserve">images/menus/menu_004_detail.webp</t>
  </si>
  <si>
    <t xml:space="preserve">menu_005</t>
  </si>
  <si>
    <t xml:space="preserve">ข้าวคลุกกะปิ</t>
  </si>
  <si>
    <t xml:space="preserve">Shrimp Paste Fried Rice</t>
  </si>
  <si>
    <t xml:space="preserve">กุ้ง|ข้าว|โซเดียมสูง</t>
  </si>
  <si>
    <t xml:space="preserve">images/menus/menu_005_thumb.webp</t>
  </si>
  <si>
    <t xml:space="preserve">images/menus/menu_005_detail.webp</t>
  </si>
  <si>
    <t xml:space="preserve">menu_006</t>
  </si>
  <si>
    <t xml:space="preserve">ข้าวหมูกรอบ</t>
  </si>
  <si>
    <t xml:space="preserve">Crispy Pork with Rice</t>
  </si>
  <si>
    <t xml:space="preserve">images/menus/menu_006_thumb.webp</t>
  </si>
  <si>
    <t xml:space="preserve">images/menus/menu_006_detail.webp</t>
  </si>
  <si>
    <t xml:space="preserve">menu_007</t>
  </si>
  <si>
    <t xml:space="preserve">ข้าวผัดกะเพราหมูสับไข่ดาว</t>
  </si>
  <si>
    <t xml:space="preserve">Stir-fried Basil Pork with Rice and Fried Egg</t>
  </si>
  <si>
    <t xml:space="preserve">หมู|ไข่|เผ็ด|โซเดียมสูง</t>
  </si>
  <si>
    <t xml:space="preserve">images/menus/menu_007_thumb.webp</t>
  </si>
  <si>
    <t xml:space="preserve">images/menus/menu_007_detail.webp</t>
  </si>
  <si>
    <t xml:space="preserve">menu_008</t>
  </si>
  <si>
    <t xml:space="preserve">ข้าวผัดกะเพราไก่</t>
  </si>
  <si>
    <t xml:space="preserve">Stir-fried Basil Chicken with Rice</t>
  </si>
  <si>
    <t xml:space="preserve">ไก่|เผ็ด</t>
  </si>
  <si>
    <t xml:space="preserve">images/menus/menu_008_thumb.webp</t>
  </si>
  <si>
    <t xml:space="preserve">images/menus/menu_008_detail.webp</t>
  </si>
  <si>
    <t xml:space="preserve">menu_009</t>
  </si>
  <si>
    <t xml:space="preserve">ข้าวผัดหมู</t>
  </si>
  <si>
    <t xml:space="preserve">Pork Fried Rice</t>
  </si>
  <si>
    <t xml:space="preserve">หมู|ข้าวผัด</t>
  </si>
  <si>
    <t xml:space="preserve">images/menus/menu_009_thumb.webp</t>
  </si>
  <si>
    <t xml:space="preserve">images/menus/menu_009_detail.webp</t>
  </si>
  <si>
    <t xml:space="preserve">menu_010</t>
  </si>
  <si>
    <t xml:space="preserve">ข้าวผัดอเมริกัน</t>
  </si>
  <si>
    <t xml:space="preserve">American Fried Rice</t>
  </si>
  <si>
    <t xml:space="preserve">ไส้กรอก|ไข่|พลังงานสูง</t>
  </si>
  <si>
    <t xml:space="preserve">images/menus/menu_010_thumb.webp</t>
  </si>
  <si>
    <t xml:space="preserve">images/menus/menu_010_detail.webp</t>
  </si>
  <si>
    <t xml:space="preserve">menu_011</t>
  </si>
  <si>
    <t xml:space="preserve">ข้าวผัดพริกแกงหมู</t>
  </si>
  <si>
    <t xml:space="preserve">Stir-fried Red Curry Paste with Pork and Rice</t>
  </si>
  <si>
    <t xml:space="preserve">หมู|เผ็ด</t>
  </si>
  <si>
    <t xml:space="preserve">images/menus/menu_011_thumb.webp</t>
  </si>
  <si>
    <t xml:space="preserve">images/menus/menu_011_detail.webp</t>
  </si>
  <si>
    <t xml:space="preserve">menu_012</t>
  </si>
  <si>
    <t xml:space="preserve">ข้าวผัดกระเทียมหมู</t>
  </si>
  <si>
    <t xml:space="preserve">Garlic Pork with Rice</t>
  </si>
  <si>
    <t xml:space="preserve">หมู|กระเทียม</t>
  </si>
  <si>
    <t xml:space="preserve">images/menus/menu_012_thumb.webp</t>
  </si>
  <si>
    <t xml:space="preserve">images/menus/menu_012_detail.webp</t>
  </si>
  <si>
    <t xml:space="preserve">menu_013</t>
  </si>
  <si>
    <t xml:space="preserve">ข้าวไข่เจียวหมูสับ</t>
  </si>
  <si>
    <t xml:space="preserve">Thai Omelette with Minced Pork and Rice</t>
  </si>
  <si>
    <t xml:space="preserve">ไข่|หมู</t>
  </si>
  <si>
    <t xml:space="preserve">images/menus/menu_013_thumb.webp</t>
  </si>
  <si>
    <t xml:space="preserve">images/menus/menu_013_detail.webp</t>
  </si>
  <si>
    <t xml:space="preserve">menu_014</t>
  </si>
  <si>
    <t xml:space="preserve">ข้าวผัดคะน้าหมูกรอบ</t>
  </si>
  <si>
    <t xml:space="preserve">Stir-fried Kale with Crispy Pork and Rice</t>
  </si>
  <si>
    <t xml:space="preserve">หมู|ผัก</t>
  </si>
  <si>
    <t xml:space="preserve">images/menus/menu_014_thumb.webp</t>
  </si>
  <si>
    <t xml:space="preserve">images/menus/menu_014_detail.webp</t>
  </si>
  <si>
    <t xml:space="preserve">menu_015</t>
  </si>
  <si>
    <t xml:space="preserve">ข้าวผัดผงกะหรี่ไก่</t>
  </si>
  <si>
    <t xml:space="preserve">Curry Powder Stir-fried Chicken with Rice</t>
  </si>
  <si>
    <t xml:space="preserve">ไก่|ไข่</t>
  </si>
  <si>
    <t xml:space="preserve">images/menus/menu_015_thumb.webp</t>
  </si>
  <si>
    <t xml:space="preserve">images/menus/menu_015_detail.webp</t>
  </si>
  <si>
    <t xml:space="preserve">menu_016</t>
  </si>
  <si>
    <t xml:space="preserve">ก๋วยเตี๋ยวหมูน้ำใส</t>
  </si>
  <si>
    <t xml:space="preserve">Clear Soup Pork Noodle</t>
  </si>
  <si>
    <t xml:space="preserve">1 ชาม</t>
  </si>
  <si>
    <t xml:space="preserve">หมู|น้ำซุป|พลังงานต่ำ</t>
  </si>
  <si>
    <t xml:space="preserve">images/menus/menu_016_thumb.webp</t>
  </si>
  <si>
    <t xml:space="preserve">images/menus/menu_016_detail.webp</t>
  </si>
  <si>
    <t xml:space="preserve">menu_017</t>
  </si>
  <si>
    <t xml:space="preserve">ก๋วยเตี๋ยวต้มยำหมู</t>
  </si>
  <si>
    <t xml:space="preserve">Tom Yum Pork Noodle</t>
  </si>
  <si>
    <t xml:space="preserve">หมู|เผ็ด|โซเดียมสูง</t>
  </si>
  <si>
    <t xml:space="preserve">images/menus/menu_017_thumb.webp</t>
  </si>
  <si>
    <t xml:space="preserve">images/menus/menu_017_detail.webp</t>
  </si>
  <si>
    <t xml:space="preserve">menu_018</t>
  </si>
  <si>
    <t xml:space="preserve">เย็นตาโฟ</t>
  </si>
  <si>
    <t xml:space="preserve">Yen Ta Fo Noodle</t>
  </si>
  <si>
    <t xml:space="preserve">ลูกชิ้น|โซเดียมสูง</t>
  </si>
  <si>
    <t xml:space="preserve">images/menus/menu_018_thumb.webp</t>
  </si>
  <si>
    <t xml:space="preserve">images/menus/menu_018_detail.webp</t>
  </si>
  <si>
    <t xml:space="preserve">menu_019</t>
  </si>
  <si>
    <t xml:space="preserve">ก๋วยเตี๋ยวเนื้อตุ๋น</t>
  </si>
  <si>
    <t xml:space="preserve">Braised Beef Noodle</t>
  </si>
  <si>
    <t xml:space="preserve">เนื้อ|โปรตีนสูง</t>
  </si>
  <si>
    <t xml:space="preserve">images/menus/menu_019_thumb.webp</t>
  </si>
  <si>
    <t xml:space="preserve">images/menus/menu_019_detail.webp</t>
  </si>
  <si>
    <t xml:space="preserve">menu_020</t>
  </si>
  <si>
    <t xml:space="preserve">บะหมี่เกี๊ยวหมูแดง</t>
  </si>
  <si>
    <t xml:space="preserve">Egg Noodle with Wonton and Red Pork</t>
  </si>
  <si>
    <t xml:space="preserve">หมู|บะหมี่</t>
  </si>
  <si>
    <t xml:space="preserve">images/menus/menu_020_thumb.webp</t>
  </si>
  <si>
    <t xml:space="preserve">images/menus/menu_020_detail.webp</t>
  </si>
  <si>
    <t xml:space="preserve">menu_021</t>
  </si>
  <si>
    <t xml:space="preserve">ผัดไทยกุ้งสด</t>
  </si>
  <si>
    <t xml:space="preserve">Pad Thai with Fresh Shrimp</t>
  </si>
  <si>
    <t xml:space="preserve">กุ้ง|น้ำตาลสูง</t>
  </si>
  <si>
    <t xml:space="preserve">images/menus/menu_021_thumb.webp</t>
  </si>
  <si>
    <t xml:space="preserve">images/menus/menu_021_detail.webp</t>
  </si>
  <si>
    <t xml:space="preserve">menu_022</t>
  </si>
  <si>
    <t xml:space="preserve">ผัดซีอิ๊วหมู</t>
  </si>
  <si>
    <t xml:space="preserve">Stir-fried Noodle with Soy Sauce and Pork</t>
  </si>
  <si>
    <t xml:space="preserve">หมู|เส้นใหญ่</t>
  </si>
  <si>
    <t xml:space="preserve">images/menus/menu_022_thumb.webp</t>
  </si>
  <si>
    <t xml:space="preserve">images/menus/menu_022_detail.webp</t>
  </si>
  <si>
    <t xml:space="preserve">menu_023</t>
  </si>
  <si>
    <t xml:space="preserve">ราดหน้าหมู</t>
  </si>
  <si>
    <t xml:space="preserve">Rice Noodle with Pork Gravy</t>
  </si>
  <si>
    <t xml:space="preserve">images/menus/menu_023_thumb.webp</t>
  </si>
  <si>
    <t xml:space="preserve">images/menus/menu_023_detail.webp</t>
  </si>
  <si>
    <t xml:space="preserve">menu_024</t>
  </si>
  <si>
    <t xml:space="preserve">ก๋วยเตี๋ยวคั่วไก่</t>
  </si>
  <si>
    <t xml:space="preserve">Stir-fried Noodle with Chicken</t>
  </si>
  <si>
    <t xml:space="preserve">images/menus/menu_024_thumb.webp</t>
  </si>
  <si>
    <t xml:space="preserve">images/menus/menu_024_detail.webp</t>
  </si>
  <si>
    <t xml:space="preserve">menu_025</t>
  </si>
  <si>
    <t xml:space="preserve">ขนมจีนน้ำยากะทิ</t>
  </si>
  <si>
    <t xml:space="preserve">Rice Vermicelli with Coconut Fish Curry</t>
  </si>
  <si>
    <t xml:space="preserve">ปลา|กะทิ</t>
  </si>
  <si>
    <t xml:space="preserve">images/menus/menu_025_thumb.webp</t>
  </si>
  <si>
    <t xml:space="preserve">images/menus/menu_025_detail.webp</t>
  </si>
  <si>
    <t xml:space="preserve">menu_026</t>
  </si>
  <si>
    <t xml:space="preserve">สุกี้น้ำหมู</t>
  </si>
  <si>
    <t xml:space="preserve">Suki Soup with Pork</t>
  </si>
  <si>
    <t xml:space="preserve">หมู|ผัก|พลังงานต่ำ</t>
  </si>
  <si>
    <t xml:space="preserve">images/menus/menu_026_thumb.webp</t>
  </si>
  <si>
    <t xml:space="preserve">images/menus/menu_026_detail.webp</t>
  </si>
  <si>
    <t xml:space="preserve">menu_027</t>
  </si>
  <si>
    <t xml:space="preserve">สุกี้แห้งหมู</t>
  </si>
  <si>
    <t xml:space="preserve">Dry Suki with Pork</t>
  </si>
  <si>
    <t xml:space="preserve">images/menus/menu_027_thumb.webp</t>
  </si>
  <si>
    <t xml:space="preserve">images/menus/menu_027_detail.webp</t>
  </si>
  <si>
    <t xml:space="preserve">menu_028</t>
  </si>
  <si>
    <t xml:space="preserve">ส้มตำไทย</t>
  </si>
  <si>
    <t xml:space="preserve">Thai Green Papaya Salad</t>
  </si>
  <si>
    <t xml:space="preserve">มังสวิรัติได้|ผัก|เผ็ด</t>
  </si>
  <si>
    <t xml:space="preserve">images/menus/menu_028_thumb.webp</t>
  </si>
  <si>
    <t xml:space="preserve">images/menus/menu_028_detail.webp</t>
  </si>
  <si>
    <t xml:space="preserve">menu_029</t>
  </si>
  <si>
    <t xml:space="preserve">ส้มตำปูปลาร้า</t>
  </si>
  <si>
    <t xml:space="preserve">Papaya Salad with Crab and Fermented Fish</t>
  </si>
  <si>
    <t xml:space="preserve">ปู|เผ็ด|โซเดียมสูง</t>
  </si>
  <si>
    <t xml:space="preserve">images/menus/menu_029_thumb.webp</t>
  </si>
  <si>
    <t xml:space="preserve">images/menus/menu_029_detail.webp</t>
  </si>
  <si>
    <t xml:space="preserve">menu_030</t>
  </si>
  <si>
    <t xml:space="preserve">ลาบหมู</t>
  </si>
  <si>
    <t xml:space="preserve">Spicy Minced Pork Salad</t>
  </si>
  <si>
    <t xml:space="preserve">หมู|เผ็ด|โปรตีนสูง</t>
  </si>
  <si>
    <t xml:space="preserve">images/menus/menu_030_thumb.webp</t>
  </si>
  <si>
    <t xml:space="preserve">images/menus/menu_030_detail.webp</t>
  </si>
  <si>
    <t xml:space="preserve">menu_031</t>
  </si>
  <si>
    <t xml:space="preserve">ไก่ย่าง (หนึ่งในสี่ตัว)</t>
  </si>
  <si>
    <t xml:space="preserve">Grilled Chicken (Quarter)</t>
  </si>
  <si>
    <t xml:space="preserve">1 ชิ้น</t>
  </si>
  <si>
    <t xml:space="preserve">ไก่|โปรตีนสูง</t>
  </si>
  <si>
    <t xml:space="preserve">images/menus/menu_031_thumb.webp</t>
  </si>
  <si>
    <t xml:space="preserve">images/menus/menu_031_detail.webp</t>
  </si>
  <si>
    <t xml:space="preserve">menu_032</t>
  </si>
  <si>
    <t xml:space="preserve">คอหมูย่าง</t>
  </si>
  <si>
    <t xml:space="preserve">Grilled Pork Neck</t>
  </si>
  <si>
    <t xml:space="preserve">หมู|ไขมันสูง</t>
  </si>
  <si>
    <t xml:space="preserve">images/menus/menu_032_thumb.webp</t>
  </si>
  <si>
    <t xml:space="preserve">images/menus/menu_032_detail.webp</t>
  </si>
  <si>
    <t xml:space="preserve">menu_033</t>
  </si>
  <si>
    <t xml:space="preserve">ข้าวเหนียว</t>
  </si>
  <si>
    <t xml:space="preserve">Sticky Rice</t>
  </si>
  <si>
    <t xml:space="preserve">1 ห่อ</t>
  </si>
  <si>
    <t xml:space="preserve">ข้าว|เครื่องเคียง</t>
  </si>
  <si>
    <t xml:space="preserve">images/menus/menu_033_thumb.webp</t>
  </si>
  <si>
    <t xml:space="preserve">images/menus/menu_033_detail.webp</t>
  </si>
  <si>
    <t xml:space="preserve">menu_034</t>
  </si>
  <si>
    <t xml:space="preserve">ต้มแซ่บกระดูกหมู</t>
  </si>
  <si>
    <t xml:space="preserve">Spicy Pork Rib Soup</t>
  </si>
  <si>
    <t xml:space="preserve">1 ถ้วย</t>
  </si>
  <si>
    <t xml:space="preserve">images/menus/menu_034_thumb.webp</t>
  </si>
  <si>
    <t xml:space="preserve">images/menus/menu_034_detail.webp</t>
  </si>
  <si>
    <t xml:space="preserve">menu_035</t>
  </si>
  <si>
    <t xml:space="preserve">แกงเขียวหวานไก่ราดข้าว</t>
  </si>
  <si>
    <t xml:space="preserve">Green Curry Chicken with Rice</t>
  </si>
  <si>
    <t xml:space="preserve">ไก่|กะทิ</t>
  </si>
  <si>
    <t xml:space="preserve">images/menus/menu_035_thumb.webp</t>
  </si>
  <si>
    <t xml:space="preserve">images/menus/menu_035_detail.webp</t>
  </si>
  <si>
    <t xml:space="preserve">menu_036</t>
  </si>
  <si>
    <t xml:space="preserve">แกงจืดเต้าหู้หมูสับ</t>
  </si>
  <si>
    <t xml:space="preserve">Clear Soup with Tofu and Minced Pork</t>
  </si>
  <si>
    <t xml:space="preserve">หมู|เต้าหู้|พลังงานต่ำ</t>
  </si>
  <si>
    <t xml:space="preserve">images/menus/menu_036_thumb.webp</t>
  </si>
  <si>
    <t xml:space="preserve">images/menus/menu_036_detail.webp</t>
  </si>
  <si>
    <t xml:space="preserve">menu_037</t>
  </si>
  <si>
    <t xml:space="preserve">ต้มยำกุ้งน้ำข้น</t>
  </si>
  <si>
    <t xml:space="preserve">Creamy Tom Yum Goong</t>
  </si>
  <si>
    <t xml:space="preserve">กุ้ง|เผ็ด|โซเดียมสูง</t>
  </si>
  <si>
    <t xml:space="preserve">images/menus/menu_037_thumb.webp</t>
  </si>
  <si>
    <t xml:space="preserve">images/menus/menu_037_detail.webp</t>
  </si>
  <si>
    <t xml:space="preserve">menu_038</t>
  </si>
  <si>
    <t xml:space="preserve">แกงส้มผักรวมกุ้ง</t>
  </si>
  <si>
    <t xml:space="preserve">Sour Curry with Mixed Vegetables and Shrimp</t>
  </si>
  <si>
    <t xml:space="preserve">กุ้ง|ผัก</t>
  </si>
  <si>
    <t xml:space="preserve">images/menus/menu_038_thumb.webp</t>
  </si>
  <si>
    <t xml:space="preserve">images/menus/menu_038_detail.webp</t>
  </si>
  <si>
    <t xml:space="preserve">menu_039</t>
  </si>
  <si>
    <t xml:space="preserve">พะแนงหมูราดข้าว</t>
  </si>
  <si>
    <t xml:space="preserve">Panang Curry Pork with Rice</t>
  </si>
  <si>
    <t xml:space="preserve">หมู|กะทิ</t>
  </si>
  <si>
    <t xml:space="preserve">images/menus/menu_039_thumb.webp</t>
  </si>
  <si>
    <t xml:space="preserve">images/menus/menu_039_detail.webp</t>
  </si>
  <si>
    <t xml:space="preserve">menu_040</t>
  </si>
  <si>
    <t xml:space="preserve">ผัดผักรวมมิตร</t>
  </si>
  <si>
    <t xml:space="preserve">Stir-fried Mixed Vegetables</t>
  </si>
  <si>
    <t xml:space="preserve">ผัก|มังสวิรัติได้</t>
  </si>
  <si>
    <t xml:space="preserve">images/menus/menu_040_thumb.webp</t>
  </si>
  <si>
    <t xml:space="preserve">images/menus/menu_040_detail.webp</t>
  </si>
  <si>
    <t xml:space="preserve">menu_041</t>
  </si>
  <si>
    <t xml:space="preserve">ผัดผักบุ้งไฟแดง</t>
  </si>
  <si>
    <t xml:space="preserve">Stir-fried Morning Glory</t>
  </si>
  <si>
    <t xml:space="preserve">images/menus/menu_041_thumb.webp</t>
  </si>
  <si>
    <t xml:space="preserve">images/menus/menu_041_detail.webp</t>
  </si>
  <si>
    <t xml:space="preserve">menu_042</t>
  </si>
  <si>
    <t xml:space="preserve">ชาไทยเย็น</t>
  </si>
  <si>
    <t xml:space="preserve">Thai Iced Milk Tea</t>
  </si>
  <si>
    <t xml:space="preserve">1 แก้ว</t>
  </si>
  <si>
    <t xml:space="preserve">น้ำตาลสูง</t>
  </si>
  <si>
    <t xml:space="preserve">images/menus/menu_042_thumb.webp</t>
  </si>
  <si>
    <t xml:space="preserve">images/menus/menu_042_detail.webp</t>
  </si>
  <si>
    <t xml:space="preserve">menu_043</t>
  </si>
  <si>
    <t xml:space="preserve">กาแฟเย็น</t>
  </si>
  <si>
    <t xml:space="preserve">Thai Iced Coffee</t>
  </si>
  <si>
    <t xml:space="preserve">น้ำตาลสูง|คาเฟอีน</t>
  </si>
  <si>
    <t xml:space="preserve">images/menus/menu_043_thumb.webp</t>
  </si>
  <si>
    <t xml:space="preserve">images/menus/menu_043_detail.webp</t>
  </si>
  <si>
    <t xml:space="preserve">menu_044</t>
  </si>
  <si>
    <t xml:space="preserve">โอเลี้ยง</t>
  </si>
  <si>
    <t xml:space="preserve">Thai Iced Black Coffee</t>
  </si>
  <si>
    <t xml:space="preserve">images/menus/menu_044_thumb.webp</t>
  </si>
  <si>
    <t xml:space="preserve">images/menus/menu_044_detail.webp</t>
  </si>
  <si>
    <t xml:space="preserve">menu_045</t>
  </si>
  <si>
    <t xml:space="preserve">น้ำเปล่า</t>
  </si>
  <si>
    <t xml:space="preserve">Drinking Water</t>
  </si>
  <si>
    <t xml:space="preserve">1 ขวด</t>
  </si>
  <si>
    <t xml:space="preserve">ไม่มีพลังงาน</t>
  </si>
  <si>
    <t xml:space="preserve">images/menus/menu_045_thumb.webp</t>
  </si>
  <si>
    <t xml:space="preserve">images/menus/menu_045_detail.webp</t>
  </si>
  <si>
    <t xml:space="preserve">menu_046</t>
  </si>
  <si>
    <t xml:space="preserve">นมถั่วเหลืองหวานน้อย</t>
  </si>
  <si>
    <t xml:space="preserve">Low-sugar Soy Milk</t>
  </si>
  <si>
    <t xml:space="preserve">โปรตีนพืช|มังสวิรัติได้</t>
  </si>
  <si>
    <t xml:space="preserve">images/menus/menu_046_thumb.webp</t>
  </si>
  <si>
    <t xml:space="preserve">images/menus/menu_046_detail.webp</t>
  </si>
  <si>
    <t xml:space="preserve">menu_047</t>
  </si>
  <si>
    <t xml:space="preserve">ข้าวเหนียวมะม่วง</t>
  </si>
  <si>
    <t xml:space="preserve">Mango with Sticky Rice</t>
  </si>
  <si>
    <t xml:space="preserve">ของหวาน|น้ำตาลสูง</t>
  </si>
  <si>
    <t xml:space="preserve">images/menus/menu_047_thumb.webp</t>
  </si>
  <si>
    <t xml:space="preserve">images/menus/menu_047_detail.webp</t>
  </si>
  <si>
    <t xml:space="preserve">menu_048</t>
  </si>
  <si>
    <t xml:space="preserve">ผลไม้รวม (ฝรั่งและสับปะรด)</t>
  </si>
  <si>
    <t xml:space="preserve">Mixed Fruit (Guava and Pineapple)</t>
  </si>
  <si>
    <t xml:space="preserve">1 กล่อง</t>
  </si>
  <si>
    <t xml:space="preserve">ผลไม้|ใยอาหารสูง</t>
  </si>
  <si>
    <t xml:space="preserve">images/menus/menu_048_thumb.webp</t>
  </si>
  <si>
    <t xml:space="preserve">images/menus/menu_048_detail.webp</t>
  </si>
  <si>
    <t xml:space="preserve">menu_049</t>
  </si>
  <si>
    <t xml:space="preserve">ข้าวสวย</t>
  </si>
  <si>
    <t xml:space="preserve">Steamed Jasmine Rice</t>
  </si>
  <si>
    <t xml:space="preserve">ข้าว|เครื่องเคียง|มังสวิรัติได้</t>
  </si>
  <si>
    <t xml:space="preserve">images/menus/menu_049_thumb.webp</t>
  </si>
  <si>
    <t xml:space="preserve">images/menus/menu_049_detail.webp</t>
  </si>
  <si>
    <t xml:space="preserve">title_th</t>
  </si>
  <si>
    <t xml:space="preserve">title_en</t>
  </si>
  <si>
    <t xml:space="preserve">topic</t>
  </si>
  <si>
    <t xml:space="preserve">summary</t>
  </si>
  <si>
    <t xml:space="preserve">key_points</t>
  </si>
  <si>
    <t xml:space="preserve">source_ids</t>
  </si>
  <si>
    <t xml:space="preserve">related_nutrient</t>
  </si>
  <si>
    <t xml:space="preserve">reading_minutes</t>
  </si>
  <si>
    <t xml:space="preserve">cover_image</t>
  </si>
  <si>
    <t xml:space="preserve">status</t>
  </si>
  <si>
    <t xml:space="preserve">published_at</t>
  </si>
  <si>
    <t xml:space="preserve">พลังงานที่ร่างกายต้องการต่อวันคำนวณอย่างไร</t>
  </si>
  <si>
    <t xml:space="preserve">How to Calculate Your Daily Energy Needs</t>
  </si>
  <si>
    <t xml:space="preserve">basic</t>
  </si>
  <si>
    <t xml:space="preserve">อธิบายความหมายของ BMR และ TDEE พร้อมวิธีคำนวณด้วยสมการ Mifflin-St Jeor</t>
  </si>
  <si>
    <t xml:space="preserve">BMR คือพลังงานที่ร่างกายใช้ขณะพักเพื่อรักษาการทำงานพื้นฐาน เช่น การหายใจและการเต้นของหัวใจ | สมการ Mifflin-St Jeor สำหรับเพศชาย BMR = 10 × น้ำหนัก (กก.) + 6.25 × ส่วนสูง (ซม.) − 5 × อายุ (ปี) + 5 ส่วนเพศหญิงใช้ −161 แทน +5 | TDEE คือ BMR คูณตัวคูณระดับกิจกรรม ตั้งแต่ 1.2 สำหรับผู้ที่นั่งทำงานเป็นหลัก ถึง 1.9 สำหรับผู้ใช้แรงงานหนัก | ตัวเลขที่ได้เป็นค่าประมาณเพื่อใช้วางแผน ไม่ใช่ค่าที่วัดได้จริงของแต่ละบุคคล</t>
  </si>
  <si>
    <t xml:space="preserve">src_05|src_02</t>
  </si>
  <si>
    <t xml:space="preserve">images/articles/article_01_cover.webp</t>
  </si>
  <si>
    <t xml:space="preserve">PUBLISHED</t>
  </si>
  <si>
    <t xml:space="preserve">article_02</t>
  </si>
  <si>
    <t xml:space="preserve">อ่านฉลากโภชนาการอย่างไรให้เป็น</t>
  </si>
  <si>
    <t xml:space="preserve">How to Read a Nutrition Label</t>
  </si>
  <si>
    <t xml:space="preserve">อธิบายหน่วยบริโภค ร้อยละของปริมาณที่แนะนำต่อวัน และฉลากหวาน มัน เค็ม</t>
  </si>
  <si>
    <t xml:space="preserve">ค่าบนฉลากโภชนาการเป็นค่าต่อหนึ่งหน่วยบริโภค ไม่ใช่ต่อทั้งบรรจุภัณฑ์ จึงต้องดูจำนวนหน่วยบริโภคต่อภาชนะประกอบทุกครั้ง | ร้อยละของปริมาณที่แนะนำต่อวันบอกว่าหนึ่งหน่วยบริโภคให้สารอาหารคิดเป็นสัดส่วนเท่าใดของความต้องการทั้งวัน | ฉลากหวาน มัน เค็ม ด้านหน้าบรรจุภัณฑ์แสดงพลังงาน น้ำตาล ไขมัน และโซเดียมของทั้งบรรจุภัณฑ์ ช่วยให้เปรียบเทียบสินค้าได้เร็ว | อาหารปรุงสำเร็จหน้าร้านไม่มีฉลาก ระบบนี้จึงแสดงค่าต่อหนึ่งจานแทน</t>
  </si>
  <si>
    <t xml:space="preserve">src_06</t>
  </si>
  <si>
    <t xml:space="preserve">general</t>
  </si>
  <si>
    <t xml:space="preserve">images/articles/article_02_cover.webp</t>
  </si>
  <si>
    <t xml:space="preserve">โซเดียมแฝงในอาหารจานเดียวของไทย</t>
  </si>
  <si>
    <t xml:space="preserve">Hidden Sodium in Thai Single-dish Meals</t>
  </si>
  <si>
    <t xml:space="preserve">sodium</t>
  </si>
  <si>
    <t xml:space="preserve">เปรียบเทียบปริมาณโซเดียมของเมนูยอดนิยมกับเกณฑ์ไม่เกิน 2,000 มิลลิกรัมต่อวัน</t>
  </si>
  <si>
    <t xml:space="preserve">องค์การอนามัยโลกแนะนำให้ผู้ใหญ่บริโภคโซเดียมไม่เกิน 2,000 มิลลิกรัมต่อวัน ซึ่งเทียบเท่าเกลือประมาณ 5 กรัม | กรมอนามัยรายงานว่าคนไทยได้รับโซเดียมเฉลี่ย 3,636 มิลลิกรัมต่อวัน เกือบสองเท่าของเกณฑ์ | โซเดียมส่วนใหญ่มาจากน้ำปลา ซีอิ๊ว ซอสปรุงรส ผงปรุงรส และน้ำซุป ก๋วยเตี๋ยวน้ำหนึ่งชามจึงอาจให้โซเดียมเกือบทั้งวัน | วิธีลดที่ทำได้ทันทีคือไม่ซดน้ำซุปจนหมด ชิมก่อนเติมเครื่องปรุง และสลับเมนูรสจัดกับผัดผักหรือแกงจืด</t>
  </si>
  <si>
    <t xml:space="preserve">src_03|src_16|src_01</t>
  </si>
  <si>
    <t xml:space="preserve">images/articles/article_03_cover.webp</t>
  </si>
  <si>
    <t xml:space="preserve">น้ำตาลในเครื่องดื่ม หนึ่งแก้วเท่ากับกี่ช้อนชา</t>
  </si>
  <si>
    <t xml:space="preserve">Sugar in Beverages</t>
  </si>
  <si>
    <t xml:space="preserve">sugar</t>
  </si>
  <si>
    <t xml:space="preserve">แปลงปริมาณน้ำตาลในเครื่องดื่มเป็นจำนวนช้อนชาเพื่อให้เห็นภาพ</t>
  </si>
  <si>
    <t xml:space="preserve">องค์การอนามัยโลกแนะนำให้ได้รับน้ำตาลอิสระน้อยกว่าร้อยละ 10 ของพลังงานทั้งวัน สำหรับผู้ที่ต้องการ 2,000 กิโลแคลอรีคือไม่เกินประมาณ 50 กรัม และจะดียิ่งขึ้นหากต่ำกว่าร้อยละ 5 | น้ำตาล 1 ช้อนชามีประมาณ 4 กรัม ชาไทยเย็นหนึ่งแก้วในระบบมีน้ำตาลประมาณ 44 กรัม หรือราว 11 ช้อนชา | การสั่งหวานน้อย หรือเปลี่ยนเป็นน้ำเปล่าและนมถั่วเหลืองสูตรหวานน้อย ช่วยลดน้ำตาลได้มากโดยไม่ต้องเปลี่ยนมื้ออาหาร</t>
  </si>
  <si>
    <t xml:space="preserve">src_04|src_01</t>
  </si>
  <si>
    <t xml:space="preserve">images/articles/article_04_cover.webp</t>
  </si>
  <si>
    <t xml:space="preserve">โปรตีนพอหรือยังใน 1 วัน</t>
  </si>
  <si>
    <t xml:space="preserve">Are You Getting Enough Protein</t>
  </si>
  <si>
    <t xml:space="preserve">protein</t>
  </si>
  <si>
    <t xml:space="preserve">อธิบายการประมาณความต้องการโปรตีนจากน้ำหนักตัวและแหล่งโปรตีนราคาประหยัด</t>
  </si>
  <si>
    <t xml:space="preserve">ระบบใช้เป้าหมายโปรตีนประมาณ 1.0 กรัมต่อน้ำหนักตัว 1 กิโลกรัมต่อวันสำหรับผู้ใหญ่ทั่วไป | ไข่ เต้าหู้ นม และเนื้อไก่เป็นแหล่งโปรตีนที่ราคาไม่สูงและหาได้ทั่วไป | อาหารจานเดียวบางเมนูให้พลังงานสูงแต่โปรตีนต่ำ การเพิ่มไข่ต้มหรือเลือกเนื้อสัตว์ไม่ติดมันช่วยให้ได้โปรตีนครบง่ายขึ้น</t>
  </si>
  <si>
    <t xml:space="preserve">images/articles/article_05_cover.webp</t>
  </si>
  <si>
    <t xml:space="preserve">ใยอาหารกับปัญหาผักน้อยในอาหารจานเดียว</t>
  </si>
  <si>
    <t xml:space="preserve">Dietary Fiber and Low-vegetable Meals</t>
  </si>
  <si>
    <t xml:space="preserve">fiber</t>
  </si>
  <si>
    <t xml:space="preserve">อธิบายบทบาทของใยอาหารและวิธีเพิ่มผักในเมนูสั่งประจำ</t>
  </si>
  <si>
    <t xml:space="preserve">ผู้ใหญ่ควรได้รับใยอาหารประมาณ 25 กรัมต่อวัน | อาหารจานเดียวส่วนใหญ่ในระบบมีใยอาหารเพียง 2 ถึง 4 กรัมต่อจาน จึงได้ใยอาหารไม่ถึงเกณฑ์แม้จะกินครบสามมื้อ | เพิ่มใยอาหารได้ด้วยการเลือกผัดผัก ส้มตำ หรือแกงส้ม และกินผลไม้เป็นของว่างแทนขนมหวาน</t>
  </si>
  <si>
    <t xml:space="preserve">src_02|src_07</t>
  </si>
  <si>
    <t xml:space="preserve">images/articles/article_06_cover.webp</t>
  </si>
  <si>
    <t xml:space="preserve">ธงโภชนาการและการจัดจานแบบ 2:1:1</t>
  </si>
  <si>
    <t xml:space="preserve">Thai Nutrition Flag and the 2:1:1 Plate</t>
  </si>
  <si>
    <t xml:space="preserve">อธิบายสัดส่วนผัก ข้าว และเนื้อสัตว์ในหนึ่งจานตามแนวทางของไทย</t>
  </si>
  <si>
    <t xml:space="preserve">ธงโภชนาการแนะนำให้กินข้าวและแป้งเป็นหลัก เพิ่มผักและผลไม้ และกินน้ำมัน น้ำตาล และเกลือแต่น้อย | จานสุขภาพ 2:1:1 คือแบ่งจานเป็น 4 ส่วน เป็นผัก 2 ส่วน ข้าวหรือแป้ง 1 ส่วน และเนื้อสัตว์หรือโปรตีน 1 ส่วน | อาหารจานเดียวส่วนใหญ่มีข้าวมากและผักน้อยกว่าที่แนะนำ ควรสั่งผักเพิ่มหรือกินผลไม้ร่วมด้วย</t>
  </si>
  <si>
    <t xml:space="preserve">src_07</t>
  </si>
  <si>
    <t xml:space="preserve">images/articles/article_07_cover.webp</t>
  </si>
  <si>
    <t xml:space="preserve">article_08</t>
  </si>
  <si>
    <t xml:space="preserve">สั่งอาหารตามสั่งอย่างไรให้พลังงานไม่เกิน</t>
  </si>
  <si>
    <t xml:space="preserve">Ordering Made-to-order Food Wisely</t>
  </si>
  <si>
    <t xml:space="preserve">practice</t>
  </si>
  <si>
    <t xml:space="preserve">รวมเทคนิคการสั่งอาหาร เช่น ขอน้ำมันน้อย ขอผักเพิ่ม และเลี่ยงของทอด</t>
  </si>
  <si>
    <t xml:space="preserve">การขอน้ำมันน้อยและลดเครื่องปรุงช่วยลดทั้งพลังงานและโซเดียมโดยไม่ต้องเปลี่ยนเมนู | เลือกเมนูผัดที่มีผักเป็นส่วนประกอบหลัก และหลีกเลี่ยงการสั่งของทอดควบคู่กับข้าวผัดในมื้อเดียวกัน | ในระบบ ข้าวผัดอเมริกันให้พลังงาน 850 กิโลแคลอรี ขณะที่ข้าวผัดกะเพราไก่ให้ 580 กิโลแคลอรีในราคาที่ถูกกว่า</t>
  </si>
  <si>
    <t xml:space="preserve">src_01|src_07</t>
  </si>
  <si>
    <t xml:space="preserve">images/articles/article_08_cover.webp</t>
  </si>
  <si>
    <t xml:space="preserve">ไขมันอิ่มตัว ไขมันไม่อิ่มตัว และไขมันทรานส์</t>
  </si>
  <si>
    <t xml:space="preserve">Types of Dietary Fat</t>
  </si>
  <si>
    <t xml:space="preserve">fat</t>
  </si>
  <si>
    <t xml:space="preserve">อธิบายชนิดของไขมันและผลต่อสุขภาพในระยะยาว</t>
  </si>
  <si>
    <t xml:space="preserve">ไขมันไม่อิ่มตัวพบในน้ำมันพืชส่วนใหญ่ ถั่ว และปลา ส่วนไขมันอิ่มตัวพบมากในไขมันสัตว์ หนังสัตว์ และกะทิ | ประเทศไทยห้ามผลิต นำเข้า หรือจำหน่ายน้ำมันที่ผ่านกระบวนการเติมไฮโดรเจนบางส่วน ซึ่งเป็นแหล่งหลักของไขมันทรานส์ ตามประกาศกระทรวงสาธารณสุข (ฉบับที่ 388) พ.ศ. 2561 | ข้าวหมูกรอบ คอหมูย่าง และข้าวขาหมูในระบบมีไขมันตั้งแต่ 28 กรัมต่อจานขึ้นไป ควรสลับกับเมนูที่ใช้เนื้อสัตว์ไม่ติดมัน</t>
  </si>
  <si>
    <t xml:space="preserve">src_02|src_17</t>
  </si>
  <si>
    <t xml:space="preserve">images/articles/article_09_cover.webp</t>
  </si>
  <si>
    <t xml:space="preserve">article_10</t>
  </si>
  <si>
    <t xml:space="preserve">กินมังสวิรัติหรือเจอย่างไรให้ได้โปรตีนครบ</t>
  </si>
  <si>
    <t xml:space="preserve">Getting Enough Protein on a Plant-based Diet</t>
  </si>
  <si>
    <t xml:space="preserve">แนะนำแหล่งโปรตีนจากพืชและการจับคู่อาหารให้ได้กรดอะมิโนครบ</t>
  </si>
  <si>
    <t xml:space="preserve">แหล่งโปรตีนจากพืชที่หาง่าย ได้แก่ เต้าหู้ ถั่วเหลือง นมถั่วเหลือง และถั่วชนิดต่าง ๆ | การกินโปรตีนจากพืชหลายชนิดร่วมกัน เช่น ข้าวกับถั่ว ช่วยให้ได้กรดอะมิโนจำเป็นครบถ้วนขึ้น | ในระบบสามารถกรองเฉพาะเมนูที่เหมาะกับมังสวิรัติ และควรตรวจสอบว่าโปรตีนรวมทั้งวันถึงเป้าหมาย</t>
  </si>
  <si>
    <t xml:space="preserve">images/articles/article_10_cover.webp</t>
  </si>
  <si>
    <t xml:space="preserve">article_11</t>
  </si>
  <si>
    <t xml:space="preserve">งบจำกัดแต่อยากกินให้ครบ 5 หมู่</t>
  </si>
  <si>
    <t xml:space="preserve">Eating Well on a Limited Budget</t>
  </si>
  <si>
    <t xml:space="preserve">แนะนำการจัดมื้ออาหารให้ครบหมู่ภายใต้งบประมาณต่อวันที่กำหนด</t>
  </si>
  <si>
    <t xml:space="preserve">เมนูที่ราคาใกล้เคียงกันอาจให้สารอาหารต่างกันมาก การเปรียบเทียบค่าต่อจานช่วยให้เลือกได้คุ้มขึ้น | ฟังก์ชันวางแผนมื้ออาหารให้ผู้ใช้กำหนดงบประมาณต่อวัน แล้วเลือกชุดเมนูที่พลังงานใกล้เป้าหมายและโซเดียมไม่เกินเกณฑ์ | น้ำเปล่าและผลไม้ตามฤดูกาลเป็นทางเลือกราคาไม่สูงที่ช่วยลดน้ำตาลจากเครื่องดื่มหวาน</t>
  </si>
  <si>
    <t xml:space="preserve">src_07|src_08</t>
  </si>
  <si>
    <t xml:space="preserve">images/articles/article_11_cover.webp</t>
  </si>
  <si>
    <t xml:space="preserve">article_12</t>
  </si>
  <si>
    <t xml:space="preserve">ข้อจำกัดของการประมาณค่าโภชนาการอาหารปรุงสำเร็จ</t>
  </si>
  <si>
    <t xml:space="preserve">Limitations of Estimating Nutrition in Cooked Dishes</t>
  </si>
  <si>
    <t xml:space="preserve">อธิบายว่าเหตุใดค่าโภชนาการของอาหารปรุงสำเร็จจึงเป็นค่าประมาณและมีความแปรปรวน</t>
  </si>
  <si>
    <t xml:space="preserve">ค่าในระบบเป็นค่าต่อหนึ่งหน่วยบริโภคตามน้ำหนักที่ระบุ แต่ละร้านใช้ปริมาณและเครื่องปรุงไม่เท่ากัน ค่าจริงจึงอาจสูงหรือต่ำกว่า | ค่าอ้างอิงมาจากฐานข้อมูลองค์ประกอบอาหารไทย หรือคำนวณจากวัตถุดิบตามสูตรมาตรฐานเมื่อไม่มีเมนูนั้นในฐานข้อมูล | ระบบนี้เป็นเครื่องมือให้ความรู้ ไม่ใช่คำแนะนำทางการแพทย์ ผู้มีโรคประจำตัวควรปรึกษาแพทย์หรือนักกำหนดอาหาร</t>
  </si>
  <si>
    <t xml:space="preserve">src_01|src_02</t>
  </si>
  <si>
    <t xml:space="preserve">images/articles/article_12_cover.webp</t>
  </si>
  <si>
    <t xml:space="preserve">image_id</t>
  </si>
  <si>
    <t xml:space="preserve">entity_id</t>
  </si>
  <si>
    <t xml:space="preserve">image_type</t>
  </si>
  <si>
    <t xml:space="preserve">file_thumb</t>
  </si>
  <si>
    <t xml:space="preserve">file_detail</t>
  </si>
  <si>
    <t xml:space="preserve">license</t>
  </si>
  <si>
    <t xml:space="preserve">img_0001</t>
  </si>
  <si>
    <t xml:space="preserve">menu</t>
  </si>
  <si>
    <t xml:space="preserve">menu_001_thumb.webp</t>
  </si>
  <si>
    <t xml:space="preserve">menu_001_detail.webp</t>
  </si>
  <si>
    <t xml:space="preserve">src_10</t>
  </si>
  <si>
    <t xml:space="preserve">CC BY 4.0</t>
  </si>
  <si>
    <t xml:space="preserve">DONE</t>
  </si>
  <si>
    <t xml:space="preserve">img_0002</t>
  </si>
  <si>
    <t xml:space="preserve">menu_002_thumb.webp</t>
  </si>
  <si>
    <t xml:space="preserve">menu_002_detail.webp</t>
  </si>
  <si>
    <t xml:space="preserve">CC BY-SA 3.0</t>
  </si>
  <si>
    <t xml:space="preserve">img_0003</t>
  </si>
  <si>
    <t xml:space="preserve">menu_003_thumb.webp</t>
  </si>
  <si>
    <t xml:space="preserve">menu_003_detail.webp</t>
  </si>
  <si>
    <t xml:space="preserve">CC BY-SA 4.0</t>
  </si>
  <si>
    <t xml:space="preserve">img_0004</t>
  </si>
  <si>
    <t xml:space="preserve">menu_004_thumb.webp</t>
  </si>
  <si>
    <t xml:space="preserve">menu_004_detail.webp</t>
  </si>
  <si>
    <t xml:space="preserve">CC0</t>
  </si>
  <si>
    <t xml:space="preserve">img_0005</t>
  </si>
  <si>
    <t xml:space="preserve">menu_005_thumb.webp</t>
  </si>
  <si>
    <t xml:space="preserve">menu_005_detail.webp</t>
  </si>
  <si>
    <t xml:space="preserve">img_0006</t>
  </si>
  <si>
    <t xml:space="preserve">menu_006_thumb.webp</t>
  </si>
  <si>
    <t xml:space="preserve">menu_006_detail.webp</t>
  </si>
  <si>
    <t xml:space="preserve">img_0007</t>
  </si>
  <si>
    <t xml:space="preserve">menu_007_thumb.webp</t>
  </si>
  <si>
    <t xml:space="preserve">menu_007_detail.webp</t>
  </si>
  <si>
    <t xml:space="preserve">img_0008</t>
  </si>
  <si>
    <t xml:space="preserve">menu_008_thumb.webp</t>
  </si>
  <si>
    <t xml:space="preserve">menu_008_detail.webp</t>
  </si>
  <si>
    <t xml:space="preserve">img_0009</t>
  </si>
  <si>
    <t xml:space="preserve">menu_009_thumb.webp</t>
  </si>
  <si>
    <t xml:space="preserve">menu_009_detail.webp</t>
  </si>
  <si>
    <t xml:space="preserve">img_0010</t>
  </si>
  <si>
    <t xml:space="preserve">menu_010_thumb.webp</t>
  </si>
  <si>
    <t xml:space="preserve">menu_010_detail.webp</t>
  </si>
  <si>
    <t xml:space="preserve">CC BY 2.0</t>
  </si>
  <si>
    <t xml:space="preserve">img_0011</t>
  </si>
  <si>
    <t xml:space="preserve">menu_011_thumb.webp</t>
  </si>
  <si>
    <t xml:space="preserve">menu_011_detail.webp</t>
  </si>
  <si>
    <t xml:space="preserve">img_0012</t>
  </si>
  <si>
    <t xml:space="preserve">menu_012_thumb.webp</t>
  </si>
  <si>
    <t xml:space="preserve">menu_012_detail.webp</t>
  </si>
  <si>
    <t xml:space="preserve">img_0013</t>
  </si>
  <si>
    <t xml:space="preserve">menu_013_thumb.webp</t>
  </si>
  <si>
    <t xml:space="preserve">menu_013_detail.webp</t>
  </si>
  <si>
    <t xml:space="preserve">img_0014</t>
  </si>
  <si>
    <t xml:space="preserve">menu_014_thumb.webp</t>
  </si>
  <si>
    <t xml:space="preserve">menu_014_detail.webp</t>
  </si>
  <si>
    <t xml:space="preserve">img_0015</t>
  </si>
  <si>
    <t xml:space="preserve">menu_015_thumb.webp</t>
  </si>
  <si>
    <t xml:space="preserve">menu_015_detail.webp</t>
  </si>
  <si>
    <t xml:space="preserve">img_0016</t>
  </si>
  <si>
    <t xml:space="preserve">menu_016_thumb.webp</t>
  </si>
  <si>
    <t xml:space="preserve">menu_016_detail.webp</t>
  </si>
  <si>
    <t xml:space="preserve">img_0017</t>
  </si>
  <si>
    <t xml:space="preserve">menu_017_thumb.webp</t>
  </si>
  <si>
    <t xml:space="preserve">menu_017_detail.webp</t>
  </si>
  <si>
    <t xml:space="preserve">img_0018</t>
  </si>
  <si>
    <t xml:space="preserve">menu_018_thumb.webp</t>
  </si>
  <si>
    <t xml:space="preserve">menu_018_detail.webp</t>
  </si>
  <si>
    <t xml:space="preserve">CC BY-SA 2.0</t>
  </si>
  <si>
    <t xml:space="preserve">img_0019</t>
  </si>
  <si>
    <t xml:space="preserve">menu_019_thumb.webp</t>
  </si>
  <si>
    <t xml:space="preserve">menu_019_detail.webp</t>
  </si>
  <si>
    <t xml:space="preserve">img_0020</t>
  </si>
  <si>
    <t xml:space="preserve">menu_020_thumb.webp</t>
  </si>
  <si>
    <t xml:space="preserve">menu_020_detail.webp</t>
  </si>
  <si>
    <t xml:space="preserve">img_0021</t>
  </si>
  <si>
    <t xml:space="preserve">menu_021_thumb.webp</t>
  </si>
  <si>
    <t xml:space="preserve">menu_021_detail.webp</t>
  </si>
  <si>
    <t xml:space="preserve">img_0022</t>
  </si>
  <si>
    <t xml:space="preserve">menu_022_thumb.webp</t>
  </si>
  <si>
    <t xml:space="preserve">menu_022_detail.webp</t>
  </si>
  <si>
    <t xml:space="preserve">img_0023</t>
  </si>
  <si>
    <t xml:space="preserve">menu_023_thumb.webp</t>
  </si>
  <si>
    <t xml:space="preserve">menu_023_detail.webp</t>
  </si>
  <si>
    <t xml:space="preserve">img_0024</t>
  </si>
  <si>
    <t xml:space="preserve">menu_024_thumb.webp</t>
  </si>
  <si>
    <t xml:space="preserve">menu_024_detail.webp</t>
  </si>
  <si>
    <t xml:space="preserve">img_0025</t>
  </si>
  <si>
    <t xml:space="preserve">menu_025_thumb.webp</t>
  </si>
  <si>
    <t xml:space="preserve">menu_025_detail.webp</t>
  </si>
  <si>
    <t xml:space="preserve">img_0026</t>
  </si>
  <si>
    <t xml:space="preserve">menu_026_thumb.webp</t>
  </si>
  <si>
    <t xml:space="preserve">menu_026_detail.webp</t>
  </si>
  <si>
    <t xml:space="preserve">img_0027</t>
  </si>
  <si>
    <t xml:space="preserve">menu_027_thumb.webp</t>
  </si>
  <si>
    <t xml:space="preserve">menu_027_detail.webp</t>
  </si>
  <si>
    <t xml:space="preserve">CC BY-NC-SA 2.0</t>
  </si>
  <si>
    <t xml:space="preserve">img_0028</t>
  </si>
  <si>
    <t xml:space="preserve">menu_028_thumb.webp</t>
  </si>
  <si>
    <t xml:space="preserve">menu_028_detail.webp</t>
  </si>
  <si>
    <t xml:space="preserve">img_0029</t>
  </si>
  <si>
    <t xml:space="preserve">menu_029_thumb.webp</t>
  </si>
  <si>
    <t xml:space="preserve">menu_029_detail.webp</t>
  </si>
  <si>
    <t xml:space="preserve">img_0030</t>
  </si>
  <si>
    <t xml:space="preserve">menu_030_thumb.webp</t>
  </si>
  <si>
    <t xml:space="preserve">menu_030_detail.webp</t>
  </si>
  <si>
    <t xml:space="preserve">img_0031</t>
  </si>
  <si>
    <t xml:space="preserve">menu_031_thumb.webp</t>
  </si>
  <si>
    <t xml:space="preserve">menu_031_detail.webp</t>
  </si>
  <si>
    <t xml:space="preserve">img_0032</t>
  </si>
  <si>
    <t xml:space="preserve">menu_032_thumb.webp</t>
  </si>
  <si>
    <t xml:space="preserve">menu_032_detail.webp</t>
  </si>
  <si>
    <t xml:space="preserve">img_0033</t>
  </si>
  <si>
    <t xml:space="preserve">menu_033_thumb.webp</t>
  </si>
  <si>
    <t xml:space="preserve">menu_033_detail.webp</t>
  </si>
  <si>
    <t xml:space="preserve">img_0034</t>
  </si>
  <si>
    <t xml:space="preserve">menu_034_thumb.webp</t>
  </si>
  <si>
    <t xml:space="preserve">menu_034_detail.webp</t>
  </si>
  <si>
    <t xml:space="preserve">img_0035</t>
  </si>
  <si>
    <t xml:space="preserve">menu_035_thumb.webp</t>
  </si>
  <si>
    <t xml:space="preserve">menu_035_detail.webp</t>
  </si>
  <si>
    <t xml:space="preserve">img_0036</t>
  </si>
  <si>
    <t xml:space="preserve">menu_036_thumb.webp</t>
  </si>
  <si>
    <t xml:space="preserve">menu_036_detail.webp</t>
  </si>
  <si>
    <t xml:space="preserve">img_0037</t>
  </si>
  <si>
    <t xml:space="preserve">menu_037_thumb.webp</t>
  </si>
  <si>
    <t xml:space="preserve">menu_037_detail.webp</t>
  </si>
  <si>
    <t xml:space="preserve">img_0038</t>
  </si>
  <si>
    <t xml:space="preserve">menu_038_thumb.webp</t>
  </si>
  <si>
    <t xml:space="preserve">menu_038_detail.webp</t>
  </si>
  <si>
    <t xml:space="preserve">img_0039</t>
  </si>
  <si>
    <t xml:space="preserve">menu_039_thumb.webp</t>
  </si>
  <si>
    <t xml:space="preserve">menu_039_detail.webp</t>
  </si>
  <si>
    <t xml:space="preserve">img_0040</t>
  </si>
  <si>
    <t xml:space="preserve">menu_040_thumb.webp</t>
  </si>
  <si>
    <t xml:space="preserve">menu_040_detail.webp</t>
  </si>
  <si>
    <t xml:space="preserve">img_0041</t>
  </si>
  <si>
    <t xml:space="preserve">menu_041_thumb.webp</t>
  </si>
  <si>
    <t xml:space="preserve">menu_041_detail.webp</t>
  </si>
  <si>
    <t xml:space="preserve">img_0042</t>
  </si>
  <si>
    <t xml:space="preserve">menu_042_thumb.webp</t>
  </si>
  <si>
    <t xml:space="preserve">menu_042_detail.webp</t>
  </si>
  <si>
    <t xml:space="preserve">img_0043</t>
  </si>
  <si>
    <t xml:space="preserve">menu_043_thumb.webp</t>
  </si>
  <si>
    <t xml:space="preserve">menu_043_detail.webp</t>
  </si>
  <si>
    <t xml:space="preserve">img_0044</t>
  </si>
  <si>
    <t xml:space="preserve">menu_044_thumb.webp</t>
  </si>
  <si>
    <t xml:space="preserve">menu_044_detail.webp</t>
  </si>
  <si>
    <t xml:space="preserve">img_0045</t>
  </si>
  <si>
    <t xml:space="preserve">menu_045_thumb.webp</t>
  </si>
  <si>
    <t xml:space="preserve">menu_045_detail.webp</t>
  </si>
  <si>
    <t xml:space="preserve">Public domain</t>
  </si>
  <si>
    <t xml:space="preserve">img_0046</t>
  </si>
  <si>
    <t xml:space="preserve">menu_046_thumb.webp</t>
  </si>
  <si>
    <t xml:space="preserve">menu_046_detail.webp</t>
  </si>
  <si>
    <t xml:space="preserve">img_0047</t>
  </si>
  <si>
    <t xml:space="preserve">menu_047_thumb.webp</t>
  </si>
  <si>
    <t xml:space="preserve">menu_047_detail.webp</t>
  </si>
  <si>
    <t xml:space="preserve">img_0048</t>
  </si>
  <si>
    <t xml:space="preserve">menu_048_thumb.webp</t>
  </si>
  <si>
    <t xml:space="preserve">menu_048_detail.webp</t>
  </si>
  <si>
    <t xml:space="preserve">img_0049</t>
  </si>
  <si>
    <t xml:space="preserve">menu_049_thumb.webp</t>
  </si>
  <si>
    <t xml:space="preserve">menu_049_detail.webp</t>
  </si>
  <si>
    <t xml:space="preserve">img_0050</t>
  </si>
  <si>
    <t xml:space="preserve">article_cover</t>
  </si>
  <si>
    <t xml:space="preserve">article_01_cover.webp</t>
  </si>
  <si>
    <t xml:space="preserve">src_09</t>
  </si>
  <si>
    <t xml:space="preserve">Own Work</t>
  </si>
  <si>
    <t xml:space="preserve">TODO</t>
  </si>
  <si>
    <t xml:space="preserve">img_0051</t>
  </si>
  <si>
    <t xml:space="preserve">article_02_cover.webp</t>
  </si>
  <si>
    <t xml:space="preserve">img_0052</t>
  </si>
  <si>
    <t xml:space="preserve">article_03_cover.webp</t>
  </si>
  <si>
    <t xml:space="preserve">img_0053</t>
  </si>
  <si>
    <t xml:space="preserve">article_04_cover.webp</t>
  </si>
  <si>
    <t xml:space="preserve">img_0054</t>
  </si>
  <si>
    <t xml:space="preserve">article_05_cover.webp</t>
  </si>
  <si>
    <t xml:space="preserve">img_0055</t>
  </si>
  <si>
    <t xml:space="preserve">article_06_cover.webp</t>
  </si>
  <si>
    <t xml:space="preserve">img_0056</t>
  </si>
  <si>
    <t xml:space="preserve">article_07_cover.webp</t>
  </si>
  <si>
    <t xml:space="preserve">img_0057</t>
  </si>
  <si>
    <t xml:space="preserve">article_08_cover.webp</t>
  </si>
  <si>
    <t xml:space="preserve">img_0058</t>
  </si>
  <si>
    <t xml:space="preserve">article_09_cover.webp</t>
  </si>
  <si>
    <t xml:space="preserve">img_0059</t>
  </si>
  <si>
    <t xml:space="preserve">article_10_cover.webp</t>
  </si>
  <si>
    <t xml:space="preserve">img_0060</t>
  </si>
  <si>
    <t xml:space="preserve">article_11_cover.webp</t>
  </si>
  <si>
    <t xml:space="preserve">img_0061</t>
  </si>
  <si>
    <t xml:space="preserve">article_12_cover.webp</t>
  </si>
  <si>
    <t xml:space="preserve">source_name</t>
  </si>
  <si>
    <t xml:space="preserve">source_type</t>
  </si>
  <si>
    <t xml:space="preserve">url_reference</t>
  </si>
  <si>
    <t xml:space="preserve">owner_license</t>
  </si>
  <si>
    <t xml:space="preserve">used_for</t>
  </si>
  <si>
    <t xml:space="preserve">ฐานข้อมูลองค์ประกอบอาหารไทยออนไลน์ (Thai Food Composition Database 2015)</t>
  </si>
  <si>
    <t xml:space="preserve">primary</t>
  </si>
  <si>
    <t xml:space="preserve">https://inmu.mahidol.ac.th/thaifcd/</t>
  </si>
  <si>
    <t xml:space="preserve">สถาบันโภชนาการ มหาวิทยาลัยมหิดล</t>
  </si>
  <si>
    <t xml:space="preserve">menus (ค่าโภชนาการ)</t>
  </si>
  <si>
    <t xml:space="preserve">ปริมาณสารอาหารอ้างอิงที่ควรได้รับประจำวันสำหรับคนไทย พ.ศ. 2563 (Dietary Reference Intake for Thais 2020)</t>
  </si>
  <si>
    <t xml:space="preserve">secondary</t>
  </si>
  <si>
    <t xml:space="preserve">สำนักโภชนาการ กรมอนามัย https://nutrition2.anamai.moph.go.th/th/dri/176096</t>
  </si>
  <si>
    <t xml:space="preserve">เอกสารราชการ</t>
  </si>
  <si>
    <t xml:space="preserve">nutrient_limits, articles</t>
  </si>
  <si>
    <t xml:space="preserve">WHO guideline: Sodium intake for adults and children</t>
  </si>
  <si>
    <t xml:space="preserve">https://www.who.int/publications/i/item/9789241504836</t>
  </si>
  <si>
    <t xml:space="preserve">World Health Organization</t>
  </si>
  <si>
    <t xml:space="preserve">เกณฑ์โซเดียมไม่เกิน 2,000 มก./วัน</t>
  </si>
  <si>
    <t xml:space="preserve">WHO guideline: Sugars intake for adults and children</t>
  </si>
  <si>
    <t xml:space="preserve">https://www.who.int/publications/i/item/9789241549028</t>
  </si>
  <si>
    <t xml:space="preserve">เกณฑ์น้ำตาลอิสระไม่เกินร้อยละ 10</t>
  </si>
  <si>
    <t xml:space="preserve">Mifflin, M. D. et al. (1990). A new predictive equation for resting energy expenditure</t>
  </si>
  <si>
    <t xml:space="preserve">The American Journal of Clinical Nutrition, 51(2), 241-247</t>
  </si>
  <si>
    <t xml:space="preserve">วารสารวิชาการ</t>
  </si>
  <si>
    <t xml:space="preserve">สูตรคำนวณ BMR</t>
  </si>
  <si>
    <t xml:space="preserve">ประกาศกระทรวงสาธารณสุข (ฉบับที่ 445) พ.ศ. 2566 เรื่อง ฉลากโภชนาการ</t>
  </si>
  <si>
    <t xml:space="preserve">สำนักงานคณะกรรมการอาหารและยา https://food.fda.moph.go.th/local-economy/category/local-economy-nutrition-label</t>
  </si>
  <si>
    <t xml:space="preserve">บทความเรื่องฉลากโภชนาการ</t>
  </si>
  <si>
    <t xml:space="preserve">คู่มือธงโภชนาการ และแนวทางจานสุขภาพ 2:1:1 ของกรมอนามัย</t>
  </si>
  <si>
    <t xml:space="preserve">สำนักโภชนาการ กรมอนามัย https://nutrition2.anamai.moph.go.th/th/book/201525</t>
  </si>
  <si>
    <t xml:space="preserve">บทความเรื่องการจัดจาน</t>
  </si>
  <si>
    <t xml:space="preserve">src_08</t>
  </si>
  <si>
    <t xml:space="preserve">สำรวจราคาและเมนูจากร้านอาหารตามสั่งและโรงอาหาร</t>
  </si>
  <si>
    <t xml:space="preserve">สำรวจโดยผู้จัดทำ</t>
  </si>
  <si>
    <t xml:space="preserve">menus.price_thb, serving_desc</t>
  </si>
  <si>
    <t xml:space="preserve">ภาพปกบทความ ไอคอน ภาพประกอบ และโลโก้ โดยผู้จัดทำ</t>
  </si>
  <si>
    <t xml:space="preserve">ผู้จัดทำ</t>
  </si>
  <si>
    <t xml:space="preserve">menu_images (ภาพปกบทความ), icons, branding</t>
  </si>
  <si>
    <t xml:space="preserve">ภาพเมนูจากคลังภาพที่มีสัญญาอนุญาตเปิด: Wikimedia Commons (48 เมนู) และ Flickr (1 เมนู, menu_027)</t>
  </si>
  <si>
    <t xml:space="preserve">asset</t>
  </si>
  <si>
    <t xml:space="preserve">https://commons.wikimedia.org และ https://www.flickr.com (ลิงก์รายไฟล์ใน images/menus/image_credits.csv)</t>
  </si>
  <si>
    <t xml:space="preserve">CC0 / Public domain / CC BY / CC BY-SA / CC BY-NC-SA (ระบุรายไฟล์)</t>
  </si>
  <si>
    <t xml:space="preserve">menu_images (ภาพเมนู 98 ไฟล์)</t>
  </si>
  <si>
    <t xml:space="preserve">src_11</t>
  </si>
  <si>
    <t xml:space="preserve">Lucide Icons (ใช้เป็นแนวทางการออกแบบ ไม่ได้คัดลอกไฟล์)</t>
  </si>
  <si>
    <t xml:space="preserve">https://lucide.dev</t>
  </si>
  <si>
    <t xml:space="preserve">ISC License</t>
  </si>
  <si>
    <t xml:space="preserve">อ้างอิงรูปแบบไอคอนเส้น 24x24 stroke 2</t>
  </si>
  <si>
    <t xml:space="preserve">src_12</t>
  </si>
  <si>
    <t xml:space="preserve">Sarabun (Google Fonts)</t>
  </si>
  <si>
    <t xml:space="preserve">https://fonts.google.com/specimen/Sarabun</t>
  </si>
  <si>
    <t xml:space="preserve">SIL Open Font License 1.1</t>
  </si>
  <si>
    <t xml:space="preserve">ฟอนต์หลักของระบบ</t>
  </si>
  <si>
    <t xml:space="preserve">src_13</t>
  </si>
  <si>
    <t xml:space="preserve">sharp (Node.js image processing)</t>
  </si>
  <si>
    <t xml:space="preserve">https://sharp.pixelplumbing.com</t>
  </si>
  <si>
    <t xml:space="preserve">Apache License 2.0</t>
  </si>
  <si>
    <t xml:space="preserve">เครื่องมือแปลงและย่อภาพเป็น WebP</t>
  </si>
  <si>
    <t xml:space="preserve">src_14</t>
  </si>
  <si>
    <t xml:space="preserve">พระราชบัญญัติคุ้มครองข้อมูลส่วนบุคคล พ.ศ. 2562</t>
  </si>
  <si>
    <t xml:space="preserve">ราชกิจจานุเบกษา เล่ม 136 ตอนที่ 69 ก</t>
  </si>
  <si>
    <t xml:space="preserve">เหตุผลการใช้ข้อมูลผู้ใช้จำลอง</t>
  </si>
  <si>
    <t xml:space="preserve">src_15</t>
  </si>
  <si>
    <t xml:space="preserve">ข้อมูลผู้ใช้และบันทึกมื้ออาหารจำลองสำหรับทดสอบระบบ</t>
  </si>
  <si>
    <t xml:space="preserve">synthetic</t>
  </si>
  <si>
    <t xml:space="preserve">สร้างโดยผู้จัดทำด้วยสคริปต์ seed คงที่</t>
  </si>
  <si>
    <t xml:space="preserve">users, user_targets, meal_logs</t>
  </si>
  <si>
    <t xml:space="preserve">src_16</t>
  </si>
  <si>
    <t xml:space="preserve">กรมอนามัย เผยคนไทยกินโซเดียมเกินค่ามาตรฐานเกือบ 2 เท่า</t>
  </si>
  <si>
    <t xml:space="preserve">https://anamai.moph.go.th/th/news-anamai/43277</t>
  </si>
  <si>
    <t xml:space="preserve">กรมอนามัย กระทรวงสาธารณสุข</t>
  </si>
  <si>
    <t xml:space="preserve">หลักฐานขนาดของปัญหา, article_03</t>
  </si>
  <si>
    <t xml:space="preserve">src_17</t>
  </si>
  <si>
    <t xml:space="preserve">ประกาศกระทรวงสาธารณสุข (ฉบับที่ 388) พ.ศ. 2561 เรื่อง กำหนดอาหารที่ห้ามผลิต นำเข้า หรือจำหน่าย</t>
  </si>
  <si>
    <t xml:space="preserve">https://food.fda.moph.go.th/food-law/388</t>
  </si>
  <si>
    <t xml:space="preserve">สำนักงานคณะกรรมการอาหารและยา</t>
  </si>
  <si>
    <t xml:space="preserve">article_09 (ไขมันทรานส์)</t>
  </si>
  <si>
    <t xml:space="preserve">user_id</t>
  </si>
  <si>
    <t xml:space="preserve">role</t>
  </si>
  <si>
    <t xml:space="preserve">display_name</t>
  </si>
  <si>
    <t xml:space="preserve">email</t>
  </si>
  <si>
    <t xml:space="preserve">sex</t>
  </si>
  <si>
    <t xml:space="preserve">birth_year</t>
  </si>
  <si>
    <t xml:space="preserve">height_cm</t>
  </si>
  <si>
    <t xml:space="preserve">weight_kg</t>
  </si>
  <si>
    <t xml:space="preserve">budget_per_day_thb</t>
  </si>
  <si>
    <t xml:space="preserve">created_at</t>
  </si>
  <si>
    <t xml:space="preserve">user_001</t>
  </si>
  <si>
    <t xml:space="preserve">member</t>
  </si>
  <si>
    <t xml:space="preserve">กิตติพัฒน์</t>
  </si>
  <si>
    <t xml:space="preserve">user001@nutriplan.test</t>
  </si>
  <si>
    <t xml:space="preserve">male</t>
  </si>
  <si>
    <t xml:space="preserve">2026-09-06</t>
  </si>
  <si>
    <t xml:space="preserve">user_002</t>
  </si>
  <si>
    <t xml:space="preserve">ปวีณา</t>
  </si>
  <si>
    <t xml:space="preserve">user002@nutriplan.test</t>
  </si>
  <si>
    <t xml:space="preserve">female</t>
  </si>
  <si>
    <t xml:space="preserve">user_003</t>
  </si>
  <si>
    <t xml:space="preserve">ธนากร</t>
  </si>
  <si>
    <t xml:space="preserve">user003@nutriplan.test</t>
  </si>
  <si>
    <t xml:space="preserve">user_004</t>
  </si>
  <si>
    <t xml:space="preserve">สุภัสสรา</t>
  </si>
  <si>
    <t xml:space="preserve">user004@nutriplan.test</t>
  </si>
  <si>
    <t xml:space="preserve">user_005</t>
  </si>
  <si>
    <t xml:space="preserve">ชยพล</t>
  </si>
  <si>
    <t xml:space="preserve">user005@nutriplan.test</t>
  </si>
  <si>
    <t xml:space="preserve">user_006</t>
  </si>
  <si>
    <t xml:space="preserve">พิมพ์ชนก</t>
  </si>
  <si>
    <t xml:space="preserve">user006@nutriplan.test</t>
  </si>
  <si>
    <t xml:space="preserve">user_007</t>
  </si>
  <si>
    <t xml:space="preserve">วรเมธ</t>
  </si>
  <si>
    <t xml:space="preserve">user007@nutriplan.test</t>
  </si>
  <si>
    <t xml:space="preserve">user_008</t>
  </si>
  <si>
    <t xml:space="preserve">ศิริกัญญา</t>
  </si>
  <si>
    <t xml:space="preserve">user008@nutriplan.test</t>
  </si>
  <si>
    <t xml:space="preserve">user_009</t>
  </si>
  <si>
    <t xml:space="preserve">ภูริภัทร</t>
  </si>
  <si>
    <t xml:space="preserve">user009@nutriplan.test</t>
  </si>
  <si>
    <t xml:space="preserve">user_010</t>
  </si>
  <si>
    <t xml:space="preserve">กมลชนก</t>
  </si>
  <si>
    <t xml:space="preserve">user010@nutriplan.test</t>
  </si>
  <si>
    <t xml:space="preserve">user_011</t>
  </si>
  <si>
    <t xml:space="preserve">อนุชา</t>
  </si>
  <si>
    <t xml:space="preserve">user011@nutriplan.test</t>
  </si>
  <si>
    <t xml:space="preserve">user_012</t>
  </si>
  <si>
    <t xml:space="preserve">ณัฐริกา</t>
  </si>
  <si>
    <t xml:space="preserve">user012@nutriplan.test</t>
  </si>
  <si>
    <t xml:space="preserve">user_013</t>
  </si>
  <si>
    <t xml:space="preserve">ธีรภัทร</t>
  </si>
  <si>
    <t xml:space="preserve">user013@nutriplan.test</t>
  </si>
  <si>
    <t xml:space="preserve">user_014</t>
  </si>
  <si>
    <t xml:space="preserve">ปริยากร</t>
  </si>
  <si>
    <t xml:space="preserve">user014@nutriplan.test</t>
  </si>
  <si>
    <t xml:space="preserve">user_015</t>
  </si>
  <si>
    <t xml:space="preserve">จิรายุ</t>
  </si>
  <si>
    <t xml:space="preserve">user015@nutriplan.test</t>
  </si>
  <si>
    <t xml:space="preserve">user_016</t>
  </si>
  <si>
    <t xml:space="preserve">เบญจมาศ</t>
  </si>
  <si>
    <t xml:space="preserve">user016@nutriplan.test</t>
  </si>
  <si>
    <t xml:space="preserve">user_017</t>
  </si>
  <si>
    <t xml:space="preserve">ศุภกร</t>
  </si>
  <si>
    <t xml:space="preserve">user017@nutriplan.test</t>
  </si>
  <si>
    <t xml:space="preserve">user_018</t>
  </si>
  <si>
    <t xml:space="preserve">อรอุมา</t>
  </si>
  <si>
    <t xml:space="preserve">user018@nutriplan.test</t>
  </si>
  <si>
    <t xml:space="preserve">user_019</t>
  </si>
  <si>
    <t xml:space="preserve">ณัฐวุฒิ</t>
  </si>
  <si>
    <t xml:space="preserve">user019@nutriplan.test</t>
  </si>
  <si>
    <t xml:space="preserve">user_020</t>
  </si>
  <si>
    <t xml:space="preserve">ชลธิชา</t>
  </si>
  <si>
    <t xml:space="preserve">user020@nutriplan.test</t>
  </si>
  <si>
    <t xml:space="preserve">user_021</t>
  </si>
  <si>
    <t xml:space="preserve">พงศกร</t>
  </si>
  <si>
    <t xml:space="preserve">user021@nutriplan.test</t>
  </si>
  <si>
    <t xml:space="preserve">user_022</t>
  </si>
  <si>
    <t xml:space="preserve">รัชนีกร</t>
  </si>
  <si>
    <t xml:space="preserve">user022@nutriplan.test</t>
  </si>
  <si>
    <t xml:space="preserve">user_023</t>
  </si>
  <si>
    <t xml:space="preserve">วีรยุทธ</t>
  </si>
  <si>
    <t xml:space="preserve">user023@nutriplan.test</t>
  </si>
  <si>
    <t xml:space="preserve">user_024</t>
  </si>
  <si>
    <t xml:space="preserve">editor</t>
  </si>
  <si>
    <t xml:space="preserve">สุธาสินี</t>
  </si>
  <si>
    <t xml:space="preserve">user024@nutriplan.test</t>
  </si>
  <si>
    <t xml:space="preserve">user_025</t>
  </si>
  <si>
    <t xml:space="preserve">admin</t>
  </si>
  <si>
    <t xml:space="preserve">ธนพร</t>
  </si>
  <si>
    <t xml:space="preserve">user025@nutriplan.test</t>
  </si>
  <si>
    <t xml:space="preserve">age_year</t>
  </si>
  <si>
    <t xml:space="preserve">bmr_kcal</t>
  </si>
  <si>
    <t xml:space="preserve">tdee_kcal</t>
  </si>
  <si>
    <t xml:space="preserve">target_kcal</t>
  </si>
  <si>
    <t xml:space="preserve">target_protein_g</t>
  </si>
  <si>
    <t xml:space="preserve">limit_sodium_mg</t>
  </si>
  <si>
    <t xml:space="preserve">limit_sugar_g</t>
  </si>
  <si>
    <t xml:space="preserve">target_fiber_g</t>
  </si>
  <si>
    <t xml:space="preserve">calculated_at</t>
  </si>
  <si>
    <t xml:space="preserve">หมายเหตุ</t>
  </si>
  <si>
    <t xml:space="preserve">ทุกคอลัมน์ยกเว้น calculated_at เป็นสูตร: age = 2569 − birth_year (ปี พ.ศ. ของวันที่คำนวณ), BMR ตามสมการ Mifflin-St Jeor (src_05), TDEE = BMR × pal_factor, target_kcal = TDEE + kcal_adjust, โปรตีน = น้ำหนัก × 1.0 ก./กก. (src_02), เพดานโซเดียม/น้ำตาล/ใยอาหารดึงจากชีต nutrient_limits</t>
  </si>
  <si>
    <t xml:space="preserve">log_id</t>
  </si>
  <si>
    <t xml:space="preserve">log_date</t>
  </si>
  <si>
    <t xml:space="preserve">meal_type</t>
  </si>
  <si>
    <t xml:space="preserve">qty</t>
  </si>
  <si>
    <t xml:space="preserve">logged_at</t>
  </si>
  <si>
    <t xml:space="preserve">log_0001</t>
  </si>
  <si>
    <t xml:space="preserve">2026-09-08</t>
  </si>
  <si>
    <t xml:space="preserve">breakfast</t>
  </si>
  <si>
    <t xml:space="preserve">2026-09-08T07:45:00+07:00</t>
  </si>
  <si>
    <t xml:space="preserve">log_0002</t>
  </si>
  <si>
    <t xml:space="preserve">lunch</t>
  </si>
  <si>
    <t xml:space="preserve">2026-09-08T12:10:00+07:00</t>
  </si>
  <si>
    <t xml:space="preserve">log_0003</t>
  </si>
  <si>
    <t xml:space="preserve">dinner</t>
  </si>
  <si>
    <t xml:space="preserve">2026-09-08T18:30:00+07:00</t>
  </si>
  <si>
    <t xml:space="preserve">log_0004</t>
  </si>
  <si>
    <t xml:space="preserve">snack</t>
  </si>
  <si>
    <t xml:space="preserve">2026-09-08T15:20:00+07:00</t>
  </si>
  <si>
    <t xml:space="preserve">log_0005</t>
  </si>
  <si>
    <t xml:space="preserve">log_0006</t>
  </si>
  <si>
    <t xml:space="preserve">2026-09-09</t>
  </si>
  <si>
    <t xml:space="preserve">2026-09-09T07:45:00+07:00</t>
  </si>
  <si>
    <t xml:space="preserve">log_0007</t>
  </si>
  <si>
    <t xml:space="preserve">2026-09-09T12:10:00+07:00</t>
  </si>
  <si>
    <t xml:space="preserve">log_0008</t>
  </si>
  <si>
    <t xml:space="preserve">2026-09-09T18:30:00+07:00</t>
  </si>
  <si>
    <t xml:space="preserve">log_0009</t>
  </si>
  <si>
    <t xml:space="preserve">2026-09-10</t>
  </si>
  <si>
    <t xml:space="preserve">2026-09-10T07:45:00+07:00</t>
  </si>
  <si>
    <t xml:space="preserve">log_0010</t>
  </si>
  <si>
    <t xml:space="preserve">2026-09-10T12:10:00+07:00</t>
  </si>
  <si>
    <t xml:space="preserve">log_0011</t>
  </si>
  <si>
    <t xml:space="preserve">2026-09-10T18:30:00+07:00</t>
  </si>
  <si>
    <t xml:space="preserve">log_0012</t>
  </si>
  <si>
    <t xml:space="preserve">2026-09-11</t>
  </si>
  <si>
    <t xml:space="preserve">2026-09-11T07:45:00+07:00</t>
  </si>
  <si>
    <t xml:space="preserve">log_0013</t>
  </si>
  <si>
    <t xml:space="preserve">2026-09-11T12:10:00+07:00</t>
  </si>
  <si>
    <t xml:space="preserve">log_0014</t>
  </si>
  <si>
    <t xml:space="preserve">2026-09-11T18:30:00+07:00</t>
  </si>
  <si>
    <t xml:space="preserve">log_0015</t>
  </si>
  <si>
    <t xml:space="preserve">2026-09-11T15:20:00+07:00</t>
  </si>
  <si>
    <t xml:space="preserve">log_0016</t>
  </si>
  <si>
    <t xml:space="preserve">2026-09-12</t>
  </si>
  <si>
    <t xml:space="preserve">2026-09-12T12:10:00+07:00</t>
  </si>
  <si>
    <t xml:space="preserve">log_0017</t>
  </si>
  <si>
    <t xml:space="preserve">2026-09-12T18:30:00+07:00</t>
  </si>
  <si>
    <t xml:space="preserve">log_0018</t>
  </si>
  <si>
    <t xml:space="preserve">2026-09-12T15:20:00+07:00</t>
  </si>
  <si>
    <t xml:space="preserve">log_0019</t>
  </si>
  <si>
    <t xml:space="preserve">2026-09-13</t>
  </si>
  <si>
    <t xml:space="preserve">2026-09-13T07:45:00+07:00</t>
  </si>
  <si>
    <t xml:space="preserve">log_0020</t>
  </si>
  <si>
    <t xml:space="preserve">2026-09-13T12:10:00+07:00</t>
  </si>
  <si>
    <t xml:space="preserve">log_0021</t>
  </si>
  <si>
    <t xml:space="preserve">2026-09-13T18:30:00+07:00</t>
  </si>
  <si>
    <t xml:space="preserve">log_0022</t>
  </si>
  <si>
    <t xml:space="preserve">2026-09-14</t>
  </si>
  <si>
    <t xml:space="preserve">2026-09-14T07:45:00+07:00</t>
  </si>
  <si>
    <t xml:space="preserve">log_0023</t>
  </si>
  <si>
    <t xml:space="preserve">2026-09-14T12:10:00+07:00</t>
  </si>
  <si>
    <t xml:space="preserve">log_0024</t>
  </si>
  <si>
    <t xml:space="preserve">2026-09-14T18:30:00+07:00</t>
  </si>
  <si>
    <t xml:space="preserve">log_0025</t>
  </si>
  <si>
    <t xml:space="preserve">2026-09-14T15:20:00+07:00</t>
  </si>
  <si>
    <t xml:space="preserve">log_0026</t>
  </si>
  <si>
    <t xml:space="preserve">log_0027</t>
  </si>
  <si>
    <t xml:space="preserve">2026-09-15</t>
  </si>
  <si>
    <t xml:space="preserve">2026-09-15T07:45:00+07:00</t>
  </si>
  <si>
    <t xml:space="preserve">log_0028</t>
  </si>
  <si>
    <t xml:space="preserve">2026-09-15T12:10:00+07:00</t>
  </si>
  <si>
    <t xml:space="preserve">log_0029</t>
  </si>
  <si>
    <t xml:space="preserve">2026-09-15T18:30:00+07:00</t>
  </si>
  <si>
    <t xml:space="preserve">log_0030</t>
  </si>
  <si>
    <t xml:space="preserve">2026-09-15T15:20:00+07:00</t>
  </si>
  <si>
    <t xml:space="preserve">log_0031</t>
  </si>
  <si>
    <t xml:space="preserve">2026-09-16</t>
  </si>
  <si>
    <t xml:space="preserve">2026-09-16T07:45:00+07:00</t>
  </si>
  <si>
    <t xml:space="preserve">log_0032</t>
  </si>
  <si>
    <t xml:space="preserve">2026-09-16T12:10:00+07:00</t>
  </si>
  <si>
    <t xml:space="preserve">log_0033</t>
  </si>
  <si>
    <t xml:space="preserve">2026-09-16T18:30:00+07:00</t>
  </si>
  <si>
    <t xml:space="preserve">log_0034</t>
  </si>
  <si>
    <t xml:space="preserve">2026-09-16T15:20:00+07:00</t>
  </si>
  <si>
    <t xml:space="preserve">log_0035</t>
  </si>
  <si>
    <t xml:space="preserve">2026-09-18</t>
  </si>
  <si>
    <t xml:space="preserve">2026-09-18T07:45:00+07:00</t>
  </si>
  <si>
    <t xml:space="preserve">log_0036</t>
  </si>
  <si>
    <t xml:space="preserve">2026-09-18T12:10:00+07:00</t>
  </si>
  <si>
    <t xml:space="preserve">log_0037</t>
  </si>
  <si>
    <t xml:space="preserve">2026-09-18T18:30:00+07:00</t>
  </si>
  <si>
    <t xml:space="preserve">log_0038</t>
  </si>
  <si>
    <t xml:space="preserve">2026-09-18T15:20:00+07:00</t>
  </si>
  <si>
    <t xml:space="preserve">log_0039</t>
  </si>
  <si>
    <t xml:space="preserve">log_0040</t>
  </si>
  <si>
    <t xml:space="preserve">2026-09-19</t>
  </si>
  <si>
    <t xml:space="preserve">2026-09-19T12:10:00+07:00</t>
  </si>
  <si>
    <t xml:space="preserve">log_0041</t>
  </si>
  <si>
    <t xml:space="preserve">2026-09-19T18:30:00+07:00</t>
  </si>
  <si>
    <t xml:space="preserve">log_0042</t>
  </si>
  <si>
    <t xml:space="preserve">2026-09-20T07:45:00+07:00</t>
  </si>
  <si>
    <t xml:space="preserve">log_0043</t>
  </si>
  <si>
    <t xml:space="preserve">2026-09-20T12:10:00+07:00</t>
  </si>
  <si>
    <t xml:space="preserve">log_0044</t>
  </si>
  <si>
    <t xml:space="preserve">2026-09-20T18:30:00+07:00</t>
  </si>
  <si>
    <t xml:space="preserve">log_0045</t>
  </si>
  <si>
    <t xml:space="preserve">2026-09-20T15:20:00+07:00</t>
  </si>
  <si>
    <t xml:space="preserve">log_0046</t>
  </si>
  <si>
    <t xml:space="preserve">log_0047</t>
  </si>
  <si>
    <t xml:space="preserve">2026-09-07</t>
  </si>
  <si>
    <t xml:space="preserve">2026-09-07T07:45:00+07:00</t>
  </si>
  <si>
    <t xml:space="preserve">log_0048</t>
  </si>
  <si>
    <t xml:space="preserve">2026-09-07T12:10:00+07:00</t>
  </si>
  <si>
    <t xml:space="preserve">log_0049</t>
  </si>
  <si>
    <t xml:space="preserve">2026-09-07T18:30:00+07:00</t>
  </si>
  <si>
    <t xml:space="preserve">log_0050</t>
  </si>
  <si>
    <t xml:space="preserve">2026-09-07T15:20:00+07:00</t>
  </si>
  <si>
    <t xml:space="preserve">log_0051</t>
  </si>
  <si>
    <t xml:space="preserve">log_0052</t>
  </si>
  <si>
    <t xml:space="preserve">log_0053</t>
  </si>
  <si>
    <t xml:space="preserve">log_0054</t>
  </si>
  <si>
    <t xml:space="preserve">log_0055</t>
  </si>
  <si>
    <t xml:space="preserve">log_0056</t>
  </si>
  <si>
    <t xml:space="preserve">log_0057</t>
  </si>
  <si>
    <t xml:space="preserve">log_0058</t>
  </si>
  <si>
    <t xml:space="preserve">log_0059</t>
  </si>
  <si>
    <t xml:space="preserve">log_0060</t>
  </si>
  <si>
    <t xml:space="preserve">2026-09-10T15:20:00+07:00</t>
  </si>
  <si>
    <t xml:space="preserve">log_0061</t>
  </si>
  <si>
    <t xml:space="preserve">log_0062</t>
  </si>
  <si>
    <t xml:space="preserve">log_0063</t>
  </si>
  <si>
    <t xml:space="preserve">2026-09-12T07:45:00+07:00</t>
  </si>
  <si>
    <t xml:space="preserve">log_0064</t>
  </si>
  <si>
    <t xml:space="preserve">log_0065</t>
  </si>
  <si>
    <t xml:space="preserve">log_0066</t>
  </si>
  <si>
    <t xml:space="preserve">log_0067</t>
  </si>
  <si>
    <t xml:space="preserve">log_0068</t>
  </si>
  <si>
    <t xml:space="preserve">log_0069</t>
  </si>
  <si>
    <t xml:space="preserve">2026-09-13T15:20:00+07:00</t>
  </si>
  <si>
    <t xml:space="preserve">log_0070</t>
  </si>
  <si>
    <t xml:space="preserve">log_0071</t>
  </si>
  <si>
    <t xml:space="preserve">log_0072</t>
  </si>
  <si>
    <t xml:space="preserve">log_0073</t>
  </si>
  <si>
    <t xml:space="preserve">log_0074</t>
  </si>
  <si>
    <t xml:space="preserve">log_0075</t>
  </si>
  <si>
    <t xml:space="preserve">log_0076</t>
  </si>
  <si>
    <t xml:space="preserve">log_0077</t>
  </si>
  <si>
    <t xml:space="preserve">log_0078</t>
  </si>
  <si>
    <t xml:space="preserve">log_0079</t>
  </si>
  <si>
    <t xml:space="preserve">log_0080</t>
  </si>
  <si>
    <t xml:space="preserve">log_0081</t>
  </si>
  <si>
    <t xml:space="preserve">log_0082</t>
  </si>
  <si>
    <t xml:space="preserve">2026-09-17</t>
  </si>
  <si>
    <t xml:space="preserve">2026-09-17T07:45:00+07:00</t>
  </si>
  <si>
    <t xml:space="preserve">log_0083</t>
  </si>
  <si>
    <t xml:space="preserve">2026-09-17T12:10:00+07:00</t>
  </si>
  <si>
    <t xml:space="preserve">log_0084</t>
  </si>
  <si>
    <t xml:space="preserve">2026-09-17T18:30:00+07:00</t>
  </si>
  <si>
    <t xml:space="preserve">log_0085</t>
  </si>
  <si>
    <t xml:space="preserve">2026-09-17T15:20:00+07:00</t>
  </si>
  <si>
    <t xml:space="preserve">log_0086</t>
  </si>
  <si>
    <t xml:space="preserve">log_0087</t>
  </si>
  <si>
    <t xml:space="preserve">2026-09-19T07:45:00+07:00</t>
  </si>
  <si>
    <t xml:space="preserve">log_0088</t>
  </si>
  <si>
    <t xml:space="preserve">log_0089</t>
  </si>
  <si>
    <t xml:space="preserve">2026-09-19T15:20:00+07:00</t>
  </si>
  <si>
    <t xml:space="preserve">log_0090</t>
  </si>
  <si>
    <t xml:space="preserve">log_0091</t>
  </si>
  <si>
    <t xml:space="preserve">log_0092</t>
  </si>
  <si>
    <t xml:space="preserve">log_0093</t>
  </si>
  <si>
    <t xml:space="preserve">log_0094</t>
  </si>
  <si>
    <t xml:space="preserve">log_0095</t>
  </si>
  <si>
    <t xml:space="preserve">log_0096</t>
  </si>
  <si>
    <t xml:space="preserve">log_0097</t>
  </si>
  <si>
    <t xml:space="preserve">log_0098</t>
  </si>
  <si>
    <t xml:space="preserve">log_0099</t>
  </si>
  <si>
    <t xml:space="preserve">log_0100</t>
  </si>
  <si>
    <t xml:space="preserve">log_0101</t>
  </si>
  <si>
    <t xml:space="preserve">log_0102</t>
  </si>
  <si>
    <t xml:space="preserve">log_0103</t>
  </si>
  <si>
    <t xml:space="preserve">2026-09-09T15:20:00+07:00</t>
  </si>
  <si>
    <t xml:space="preserve">log_0104</t>
  </si>
  <si>
    <t xml:space="preserve">log_0105</t>
  </si>
  <si>
    <t xml:space="preserve">log_0106</t>
  </si>
  <si>
    <t xml:space="preserve">log_0107</t>
  </si>
  <si>
    <t xml:space="preserve">log_0108</t>
  </si>
  <si>
    <t xml:space="preserve">log_0109</t>
  </si>
  <si>
    <t xml:space="preserve">log_0110</t>
  </si>
  <si>
    <t xml:space="preserve">log_0111</t>
  </si>
  <si>
    <t xml:space="preserve">log_0112</t>
  </si>
  <si>
    <t xml:space="preserve">log_0113</t>
  </si>
  <si>
    <t xml:space="preserve">log_0114</t>
  </si>
  <si>
    <t xml:space="preserve">log_0115</t>
  </si>
  <si>
    <t xml:space="preserve">log_0116</t>
  </si>
  <si>
    <t xml:space="preserve">log_0117</t>
  </si>
  <si>
    <t xml:space="preserve">log_0118</t>
  </si>
  <si>
    <t xml:space="preserve">log_0119</t>
  </si>
  <si>
    <t xml:space="preserve">log_0120</t>
  </si>
  <si>
    <t xml:space="preserve">log_0121</t>
  </si>
  <si>
    <t xml:space="preserve">log_0122</t>
  </si>
  <si>
    <t xml:space="preserve">log_0123</t>
  </si>
  <si>
    <t xml:space="preserve">log_0124</t>
  </si>
  <si>
    <t xml:space="preserve">log_0125</t>
  </si>
  <si>
    <t xml:space="preserve">log_0126</t>
  </si>
  <si>
    <t xml:space="preserve">log_0127</t>
  </si>
  <si>
    <t xml:space="preserve">log_0128</t>
  </si>
  <si>
    <t xml:space="preserve">log_0129</t>
  </si>
  <si>
    <t xml:space="preserve">log_0130</t>
  </si>
  <si>
    <t xml:space="preserve">log_0131</t>
  </si>
  <si>
    <t xml:space="preserve">log_0132</t>
  </si>
  <si>
    <t xml:space="preserve">log_0133</t>
  </si>
  <si>
    <t xml:space="preserve">log_0134</t>
  </si>
  <si>
    <t xml:space="preserve">log_0135</t>
  </si>
  <si>
    <t xml:space="preserve">log_0136</t>
  </si>
  <si>
    <t xml:space="preserve">log_0137</t>
  </si>
  <si>
    <t xml:space="preserve">log_0138</t>
  </si>
  <si>
    <t xml:space="preserve">log_0139</t>
  </si>
  <si>
    <t xml:space="preserve">log_0140</t>
  </si>
  <si>
    <t xml:space="preserve">log_0141</t>
  </si>
  <si>
    <t xml:space="preserve">log_0142</t>
  </si>
  <si>
    <t xml:space="preserve">log_0143</t>
  </si>
  <si>
    <t xml:space="preserve">log_0144</t>
  </si>
  <si>
    <t xml:space="preserve">log_0145</t>
  </si>
  <si>
    <t xml:space="preserve">log_0146</t>
  </si>
  <si>
    <t xml:space="preserve">log_0147</t>
  </si>
  <si>
    <t xml:space="preserve">log_0148</t>
  </si>
  <si>
    <t xml:space="preserve">log_0149</t>
  </si>
  <si>
    <t xml:space="preserve">log_0150</t>
  </si>
  <si>
    <t xml:space="preserve">log_0151</t>
  </si>
  <si>
    <t xml:space="preserve">log_0152</t>
  </si>
  <si>
    <t xml:space="preserve">log_0153</t>
  </si>
  <si>
    <t xml:space="preserve">log_0154</t>
  </si>
  <si>
    <t xml:space="preserve">log_0155</t>
  </si>
  <si>
    <t xml:space="preserve">log_0156</t>
  </si>
  <si>
    <t xml:space="preserve">log_0157</t>
  </si>
  <si>
    <t xml:space="preserve">log_0158</t>
  </si>
  <si>
    <t xml:space="preserve">log_0159</t>
  </si>
  <si>
    <t xml:space="preserve">log_0160</t>
  </si>
  <si>
    <t xml:space="preserve">log_0161</t>
  </si>
  <si>
    <t xml:space="preserve">log_0162</t>
  </si>
  <si>
    <t xml:space="preserve">log_0163</t>
  </si>
  <si>
    <t xml:space="preserve">log_0164</t>
  </si>
  <si>
    <t xml:space="preserve">log_0165</t>
  </si>
  <si>
    <t xml:space="preserve">log_0166</t>
  </si>
  <si>
    <t xml:space="preserve">log_0167</t>
  </si>
  <si>
    <t xml:space="preserve">log_0168</t>
  </si>
  <si>
    <t xml:space="preserve">log_0169</t>
  </si>
  <si>
    <t xml:space="preserve">log_0170</t>
  </si>
  <si>
    <t xml:space="preserve">log_0171</t>
  </si>
  <si>
    <t xml:space="preserve">log_0172</t>
  </si>
  <si>
    <t xml:space="preserve">log_0173</t>
  </si>
  <si>
    <t xml:space="preserve">log_0174</t>
  </si>
  <si>
    <t xml:space="preserve">log_0175</t>
  </si>
  <si>
    <t xml:space="preserve">log_0176</t>
  </si>
  <si>
    <t xml:space="preserve">log_0177</t>
  </si>
  <si>
    <t xml:space="preserve">log_0178</t>
  </si>
  <si>
    <t xml:space="preserve">log_0179</t>
  </si>
  <si>
    <t xml:space="preserve">log_0180</t>
  </si>
  <si>
    <t xml:space="preserve">log_0181</t>
  </si>
  <si>
    <t xml:space="preserve">log_0182</t>
  </si>
  <si>
    <t xml:space="preserve">log_0183</t>
  </si>
  <si>
    <t xml:space="preserve">log_0184</t>
  </si>
  <si>
    <t xml:space="preserve">log_0185</t>
  </si>
  <si>
    <t xml:space="preserve">log_0186</t>
  </si>
  <si>
    <t xml:space="preserve">log_0187</t>
  </si>
  <si>
    <t xml:space="preserve">log_0188</t>
  </si>
  <si>
    <t xml:space="preserve">log_0189</t>
  </si>
  <si>
    <t xml:space="preserve">log_0190</t>
  </si>
  <si>
    <t xml:space="preserve">log_0191</t>
  </si>
  <si>
    <t xml:space="preserve">log_0192</t>
  </si>
  <si>
    <t xml:space="preserve">log_0193</t>
  </si>
  <si>
    <t xml:space="preserve">log_0194</t>
  </si>
  <si>
    <t xml:space="preserve">log_0195</t>
  </si>
  <si>
    <t xml:space="preserve">log_0196</t>
  </si>
  <si>
    <t xml:space="preserve">log_0197</t>
  </si>
  <si>
    <t xml:space="preserve">log_0198</t>
  </si>
  <si>
    <t xml:space="preserve">log_0199</t>
  </si>
  <si>
    <t xml:space="preserve">log_0200</t>
  </si>
  <si>
    <t xml:space="preserve">log_0201</t>
  </si>
  <si>
    <t xml:space="preserve">log_0202</t>
  </si>
  <si>
    <t xml:space="preserve">log_0203</t>
  </si>
  <si>
    <t xml:space="preserve">log_0204</t>
  </si>
  <si>
    <t xml:space="preserve">log_0205</t>
  </si>
  <si>
    <t xml:space="preserve">log_0206</t>
  </si>
  <si>
    <t xml:space="preserve">log_0207</t>
  </si>
  <si>
    <t xml:space="preserve">log_0208</t>
  </si>
  <si>
    <t xml:space="preserve">log_0209</t>
  </si>
  <si>
    <t xml:space="preserve">log_0210</t>
  </si>
  <si>
    <t xml:space="preserve">log_0211</t>
  </si>
  <si>
    <t xml:space="preserve">log_0212</t>
  </si>
  <si>
    <t xml:space="preserve">log_0213</t>
  </si>
  <si>
    <t xml:space="preserve">log_0214</t>
  </si>
  <si>
    <t xml:space="preserve">log_0215</t>
  </si>
  <si>
    <t xml:space="preserve">log_0216</t>
  </si>
  <si>
    <t xml:space="preserve">log_0217</t>
  </si>
  <si>
    <t xml:space="preserve">log_0218</t>
  </si>
  <si>
    <t xml:space="preserve">log_0219</t>
  </si>
  <si>
    <t xml:space="preserve">log_0220</t>
  </si>
  <si>
    <t xml:space="preserve">log_0221</t>
  </si>
  <si>
    <t xml:space="preserve">log_0222</t>
  </si>
  <si>
    <t xml:space="preserve">log_0223</t>
  </si>
  <si>
    <t xml:space="preserve">log_0224</t>
  </si>
  <si>
    <t xml:space="preserve">log_0225</t>
  </si>
  <si>
    <t xml:space="preserve">log_0226</t>
  </si>
  <si>
    <t xml:space="preserve">log_0227</t>
  </si>
  <si>
    <t xml:space="preserve">log_0228</t>
  </si>
  <si>
    <t xml:space="preserve">log_0229</t>
  </si>
  <si>
    <t xml:space="preserve">log_0230</t>
  </si>
  <si>
    <t xml:space="preserve">log_0231</t>
  </si>
  <si>
    <t xml:space="preserve">log_0232</t>
  </si>
  <si>
    <t xml:space="preserve">log_0233</t>
  </si>
  <si>
    <t xml:space="preserve">log_0234</t>
  </si>
  <si>
    <t xml:space="preserve">log_0235</t>
  </si>
  <si>
    <t xml:space="preserve">log_0236</t>
  </si>
  <si>
    <t xml:space="preserve">log_0237</t>
  </si>
  <si>
    <t xml:space="preserve">log_0238</t>
  </si>
  <si>
    <t xml:space="preserve">log_0239</t>
  </si>
  <si>
    <t xml:space="preserve">log_0240</t>
  </si>
  <si>
    <t xml:space="preserve">log_0241</t>
  </si>
  <si>
    <t xml:space="preserve">log_0242</t>
  </si>
  <si>
    <t xml:space="preserve">log_0243</t>
  </si>
  <si>
    <t xml:space="preserve">log_0244</t>
  </si>
  <si>
    <t xml:space="preserve">log_0245</t>
  </si>
  <si>
    <t xml:space="preserve">log_0246</t>
  </si>
  <si>
    <t xml:space="preserve">log_0247</t>
  </si>
  <si>
    <t xml:space="preserve">log_0248</t>
  </si>
  <si>
    <t xml:space="preserve">log_0249</t>
  </si>
  <si>
    <t xml:space="preserve">log_0250</t>
  </si>
  <si>
    <t xml:space="preserve">log_0251</t>
  </si>
  <si>
    <t xml:space="preserve">log_0252</t>
  </si>
  <si>
    <t xml:space="preserve">log_0253</t>
  </si>
  <si>
    <t xml:space="preserve">log_0254</t>
  </si>
  <si>
    <t xml:space="preserve">log_0255</t>
  </si>
  <si>
    <t xml:space="preserve">log_0256</t>
  </si>
  <si>
    <t xml:space="preserve">log_0257</t>
  </si>
  <si>
    <t xml:space="preserve">log_0258</t>
  </si>
  <si>
    <t xml:space="preserve">log_0259</t>
  </si>
  <si>
    <t xml:space="preserve">log_0260</t>
  </si>
  <si>
    <t xml:space="preserve">log_0261</t>
  </si>
  <si>
    <t xml:space="preserve">log_0262</t>
  </si>
  <si>
    <t xml:space="preserve">log_0263</t>
  </si>
  <si>
    <t xml:space="preserve">log_0264</t>
  </si>
  <si>
    <t xml:space="preserve">log_0265</t>
  </si>
  <si>
    <t xml:space="preserve">log_0266</t>
  </si>
  <si>
    <t xml:space="preserve">log_0267</t>
  </si>
  <si>
    <t xml:space="preserve">log_0268</t>
  </si>
  <si>
    <t xml:space="preserve">log_0269</t>
  </si>
  <si>
    <t xml:space="preserve">log_0270</t>
  </si>
  <si>
    <t xml:space="preserve">log_0271</t>
  </si>
  <si>
    <t xml:space="preserve">log_0272</t>
  </si>
  <si>
    <t xml:space="preserve">log_0273</t>
  </si>
  <si>
    <t xml:space="preserve">log_0274</t>
  </si>
  <si>
    <t xml:space="preserve">log_0275</t>
  </si>
  <si>
    <t xml:space="preserve">log_0276</t>
  </si>
  <si>
    <t xml:space="preserve">log_0277</t>
  </si>
  <si>
    <t xml:space="preserve">log_0278</t>
  </si>
  <si>
    <t xml:space="preserve">log_0279</t>
  </si>
  <si>
    <t xml:space="preserve">log_0280</t>
  </si>
  <si>
    <t xml:space="preserve">log_0281</t>
  </si>
  <si>
    <t xml:space="preserve">log_0282</t>
  </si>
  <si>
    <t xml:space="preserve">log_0283</t>
  </si>
  <si>
    <t xml:space="preserve">log_0284</t>
  </si>
  <si>
    <t xml:space="preserve">log_0285</t>
  </si>
  <si>
    <t xml:space="preserve">log_0286</t>
  </si>
  <si>
    <t xml:space="preserve">log_0287</t>
  </si>
  <si>
    <t xml:space="preserve">log_0288</t>
  </si>
  <si>
    <t xml:space="preserve">log_0289</t>
  </si>
  <si>
    <t xml:space="preserve">log_0290</t>
  </si>
  <si>
    <t xml:space="preserve">log_0291</t>
  </si>
  <si>
    <t xml:space="preserve">log_0292</t>
  </si>
  <si>
    <t xml:space="preserve">log_0293</t>
  </si>
  <si>
    <t xml:space="preserve">log_0294</t>
  </si>
  <si>
    <t xml:space="preserve">log_0295</t>
  </si>
  <si>
    <t xml:space="preserve">log_0296</t>
  </si>
  <si>
    <t xml:space="preserve">log_0297</t>
  </si>
  <si>
    <t xml:space="preserve">log_0298</t>
  </si>
  <si>
    <t xml:space="preserve">log_0299</t>
  </si>
  <si>
    <t xml:space="preserve">log_0300</t>
  </si>
  <si>
    <t xml:space="preserve">log_0301</t>
  </si>
  <si>
    <t xml:space="preserve">log_0302</t>
  </si>
  <si>
    <t xml:space="preserve">log_0303</t>
  </si>
  <si>
    <t xml:space="preserve">log_0304</t>
  </si>
  <si>
    <t xml:space="preserve">log_0305</t>
  </si>
  <si>
    <t xml:space="preserve">log_0306</t>
  </si>
  <si>
    <t xml:space="preserve">log_0307</t>
  </si>
  <si>
    <t xml:space="preserve">log_0308</t>
  </si>
  <si>
    <t xml:space="preserve">log_0309</t>
  </si>
  <si>
    <t xml:space="preserve">log_0310</t>
  </si>
  <si>
    <t xml:space="preserve">log_0311</t>
  </si>
  <si>
    <t xml:space="preserve">log_0312</t>
  </si>
  <si>
    <t xml:space="preserve">log_0313</t>
  </si>
  <si>
    <t xml:space="preserve">log_0314</t>
  </si>
  <si>
    <t xml:space="preserve">log_0315</t>
  </si>
  <si>
    <t xml:space="preserve">log_0316</t>
  </si>
  <si>
    <t xml:space="preserve">log_0317</t>
  </si>
  <si>
    <t xml:space="preserve">log_0318</t>
  </si>
  <si>
    <t xml:space="preserve">log_0319</t>
  </si>
  <si>
    <t xml:space="preserve">log_0320</t>
  </si>
  <si>
    <t xml:space="preserve">log_0321</t>
  </si>
  <si>
    <t xml:space="preserve">log_0322</t>
  </si>
  <si>
    <t xml:space="preserve">log_0323</t>
  </si>
  <si>
    <t xml:space="preserve">log_0324</t>
  </si>
  <si>
    <t xml:space="preserve">log_0325</t>
  </si>
  <si>
    <t xml:space="preserve">log_0326</t>
  </si>
  <si>
    <t xml:space="preserve">log_0327</t>
  </si>
  <si>
    <t xml:space="preserve">log_0328</t>
  </si>
  <si>
    <t xml:space="preserve">log_0329</t>
  </si>
  <si>
    <t xml:space="preserve">log_0330</t>
  </si>
  <si>
    <t xml:space="preserve">log_0331</t>
  </si>
  <si>
    <t xml:space="preserve">log_0332</t>
  </si>
  <si>
    <t xml:space="preserve">log_0333</t>
  </si>
  <si>
    <t xml:space="preserve">log_0334</t>
  </si>
  <si>
    <t xml:space="preserve">log_0335</t>
  </si>
  <si>
    <t xml:space="preserve">log_0336</t>
  </si>
  <si>
    <t xml:space="preserve">log_0337</t>
  </si>
  <si>
    <t xml:space="preserve">log_0338</t>
  </si>
  <si>
    <t xml:space="preserve">log_0339</t>
  </si>
  <si>
    <t xml:space="preserve">log_0340</t>
  </si>
  <si>
    <t xml:space="preserve">log_0341</t>
  </si>
  <si>
    <t xml:space="preserve">log_0342</t>
  </si>
  <si>
    <t xml:space="preserve">log_0343</t>
  </si>
  <si>
    <t xml:space="preserve">log_0344</t>
  </si>
  <si>
    <t xml:space="preserve">log_0345</t>
  </si>
  <si>
    <t xml:space="preserve">log_0346</t>
  </si>
  <si>
    <t xml:space="preserve">log_0347</t>
  </si>
  <si>
    <t xml:space="preserve">log_0348</t>
  </si>
  <si>
    <t xml:space="preserve">log_0349</t>
  </si>
  <si>
    <t xml:space="preserve">log_0350</t>
  </si>
  <si>
    <t xml:space="preserve">log_0351</t>
  </si>
  <si>
    <t xml:space="preserve">log_0352</t>
  </si>
  <si>
    <t xml:space="preserve">log_0353</t>
  </si>
  <si>
    <t xml:space="preserve">log_0354</t>
  </si>
  <si>
    <t xml:space="preserve">log_0355</t>
  </si>
  <si>
    <t xml:space="preserve">log_0356</t>
  </si>
  <si>
    <t xml:space="preserve">log_0357</t>
  </si>
  <si>
    <t xml:space="preserve">log_0358</t>
  </si>
  <si>
    <t xml:space="preserve">log_0359</t>
  </si>
  <si>
    <t xml:space="preserve">log_0360</t>
  </si>
  <si>
    <t xml:space="preserve">log_0361</t>
  </si>
  <si>
    <t xml:space="preserve">log_0362</t>
  </si>
  <si>
    <t xml:space="preserve">log_0363</t>
  </si>
  <si>
    <t xml:space="preserve">log_0364</t>
  </si>
  <si>
    <t xml:space="preserve">log_0365</t>
  </si>
  <si>
    <t xml:space="preserve">log_0366</t>
  </si>
  <si>
    <t xml:space="preserve">log_0367</t>
  </si>
  <si>
    <t xml:space="preserve">log_0368</t>
  </si>
  <si>
    <t xml:space="preserve">log_0369</t>
  </si>
  <si>
    <t xml:space="preserve">log_0370</t>
  </si>
  <si>
    <t xml:space="preserve">log_0371</t>
  </si>
  <si>
    <t xml:space="preserve">log_0372</t>
  </si>
  <si>
    <t xml:space="preserve">log_0373</t>
  </si>
  <si>
    <t xml:space="preserve">log_0374</t>
  </si>
  <si>
    <t xml:space="preserve">log_0375</t>
  </si>
  <si>
    <t xml:space="preserve">log_0376</t>
  </si>
  <si>
    <t xml:space="preserve">log_0377</t>
  </si>
  <si>
    <t xml:space="preserve">log_0378</t>
  </si>
  <si>
    <t xml:space="preserve">log_0379</t>
  </si>
  <si>
    <t xml:space="preserve">log_0380</t>
  </si>
  <si>
    <t xml:space="preserve">log_0381</t>
  </si>
  <si>
    <t xml:space="preserve">log_0382</t>
  </si>
  <si>
    <t xml:space="preserve">log_0383</t>
  </si>
  <si>
    <t xml:space="preserve">log_0384</t>
  </si>
  <si>
    <t xml:space="preserve">log_0385</t>
  </si>
  <si>
    <t xml:space="preserve">log_0386</t>
  </si>
  <si>
    <t xml:space="preserve">log_0387</t>
  </si>
  <si>
    <t xml:space="preserve">log_0388</t>
  </si>
  <si>
    <t xml:space="preserve">log_0389</t>
  </si>
  <si>
    <t xml:space="preserve">log_0390</t>
  </si>
  <si>
    <t xml:space="preserve">log_0391</t>
  </si>
  <si>
    <t xml:space="preserve">log_0392</t>
  </si>
  <si>
    <t xml:space="preserve">log_0393</t>
  </si>
  <si>
    <t xml:space="preserve">log_0394</t>
  </si>
  <si>
    <t xml:space="preserve">log_0395</t>
  </si>
  <si>
    <t xml:space="preserve">log_0396</t>
  </si>
  <si>
    <t xml:space="preserve">log_0397</t>
  </si>
  <si>
    <t xml:space="preserve">log_0398</t>
  </si>
  <si>
    <t xml:space="preserve">log_0399</t>
  </si>
  <si>
    <t xml:space="preserve">log_0400</t>
  </si>
  <si>
    <t xml:space="preserve">log_0401</t>
  </si>
  <si>
    <t xml:space="preserve">log_0402</t>
  </si>
  <si>
    <t xml:space="preserve">log_0403</t>
  </si>
  <si>
    <t xml:space="preserve">log_0404</t>
  </si>
  <si>
    <t xml:space="preserve">log_0405</t>
  </si>
  <si>
    <t xml:space="preserve">log_0406</t>
  </si>
  <si>
    <t xml:space="preserve">log_0407</t>
  </si>
  <si>
    <t xml:space="preserve">log_0408</t>
  </si>
  <si>
    <t xml:space="preserve">log_0409</t>
  </si>
  <si>
    <t xml:space="preserve">log_0410</t>
  </si>
  <si>
    <t xml:space="preserve">log_0411</t>
  </si>
  <si>
    <t xml:space="preserve">log_0412</t>
  </si>
  <si>
    <t xml:space="preserve">log_0413</t>
  </si>
  <si>
    <t xml:space="preserve">log_0414</t>
  </si>
  <si>
    <t xml:space="preserve">log_0415</t>
  </si>
  <si>
    <t xml:space="preserve">log_0416</t>
  </si>
  <si>
    <t xml:space="preserve">log_0417</t>
  </si>
  <si>
    <t xml:space="preserve">log_0418</t>
  </si>
  <si>
    <t xml:space="preserve">log_0419</t>
  </si>
  <si>
    <t xml:space="preserve">log_0420</t>
  </si>
  <si>
    <t xml:space="preserve">log_0421</t>
  </si>
  <si>
    <t xml:space="preserve">log_0422</t>
  </si>
  <si>
    <t xml:space="preserve">log_0423</t>
  </si>
  <si>
    <t xml:space="preserve">log_0424</t>
  </si>
  <si>
    <t xml:space="preserve">log_0425</t>
  </si>
  <si>
    <t xml:space="preserve">log_0426</t>
  </si>
  <si>
    <t xml:space="preserve">log_0427</t>
  </si>
  <si>
    <t xml:space="preserve">log_0428</t>
  </si>
  <si>
    <t xml:space="preserve">log_0429</t>
  </si>
  <si>
    <t xml:space="preserve">log_0430</t>
  </si>
  <si>
    <t xml:space="preserve">log_0431</t>
  </si>
  <si>
    <t xml:space="preserve">log_0432</t>
  </si>
  <si>
    <t xml:space="preserve">log_0433</t>
  </si>
  <si>
    <t xml:space="preserve">log_0434</t>
  </si>
  <si>
    <t xml:space="preserve">log_0435</t>
  </si>
  <si>
    <t xml:space="preserve">log_0436</t>
  </si>
  <si>
    <t xml:space="preserve">log_0437</t>
  </si>
  <si>
    <t xml:space="preserve">log_0438</t>
  </si>
  <si>
    <t xml:space="preserve">log_0439</t>
  </si>
  <si>
    <t xml:space="preserve">log_0440</t>
  </si>
  <si>
    <t xml:space="preserve">log_0441</t>
  </si>
  <si>
    <t xml:space="preserve">log_0442</t>
  </si>
  <si>
    <t xml:space="preserve">log_0443</t>
  </si>
  <si>
    <t xml:space="preserve">log_0444</t>
  </si>
  <si>
    <t xml:space="preserve">log_0445</t>
  </si>
  <si>
    <t xml:space="preserve">log_0446</t>
  </si>
  <si>
    <t xml:space="preserve">log_0447</t>
  </si>
  <si>
    <t xml:space="preserve">log_0448</t>
  </si>
  <si>
    <t xml:space="preserve">log_0449</t>
  </si>
  <si>
    <t xml:space="preserve">log_0450</t>
  </si>
  <si>
    <t xml:space="preserve">log_0451</t>
  </si>
  <si>
    <t xml:space="preserve">log_0452</t>
  </si>
  <si>
    <t xml:space="preserve">log_0453</t>
  </si>
  <si>
    <t xml:space="preserve">log_0454</t>
  </si>
  <si>
    <t xml:space="preserve">log_0455</t>
  </si>
  <si>
    <t xml:space="preserve">log_0456</t>
  </si>
  <si>
    <t xml:space="preserve">log_0457</t>
  </si>
  <si>
    <t xml:space="preserve">log_0458</t>
  </si>
  <si>
    <t xml:space="preserve">log_0459</t>
  </si>
  <si>
    <t xml:space="preserve">log_0460</t>
  </si>
  <si>
    <t xml:space="preserve">log_0461</t>
  </si>
  <si>
    <t xml:space="preserve">log_0462</t>
  </si>
  <si>
    <t xml:space="preserve">log_0463</t>
  </si>
  <si>
    <t xml:space="preserve">log_0464</t>
  </si>
  <si>
    <t xml:space="preserve">log_0465</t>
  </si>
  <si>
    <t xml:space="preserve">log_0466</t>
  </si>
  <si>
    <t xml:space="preserve">log_0467</t>
  </si>
  <si>
    <t xml:space="preserve">log_0468</t>
  </si>
  <si>
    <t xml:space="preserve">log_0469</t>
  </si>
  <si>
    <t xml:space="preserve">log_0470</t>
  </si>
  <si>
    <t xml:space="preserve">log_0471</t>
  </si>
  <si>
    <t xml:space="preserve">log_0472</t>
  </si>
  <si>
    <t xml:space="preserve">log_0473</t>
  </si>
  <si>
    <t xml:space="preserve">log_0474</t>
  </si>
  <si>
    <t xml:space="preserve">log_0475</t>
  </si>
  <si>
    <t xml:space="preserve">log_0476</t>
  </si>
  <si>
    <t xml:space="preserve">log_0477</t>
  </si>
  <si>
    <t xml:space="preserve">log_0478</t>
  </si>
  <si>
    <t xml:space="preserve">log_0479</t>
  </si>
  <si>
    <t xml:space="preserve">log_0480</t>
  </si>
  <si>
    <t xml:space="preserve">log_0481</t>
  </si>
  <si>
    <t xml:space="preserve">log_0482</t>
  </si>
  <si>
    <t xml:space="preserve">log_0483</t>
  </si>
  <si>
    <t xml:space="preserve">log_0484</t>
  </si>
  <si>
    <t xml:space="preserve">log_0485</t>
  </si>
  <si>
    <t xml:space="preserve">log_0486</t>
  </si>
  <si>
    <t xml:space="preserve">log_0487</t>
  </si>
  <si>
    <t xml:space="preserve">log_0488</t>
  </si>
  <si>
    <t xml:space="preserve">log_0489</t>
  </si>
  <si>
    <t xml:space="preserve">log_0490</t>
  </si>
  <si>
    <t xml:space="preserve">log_0491</t>
  </si>
  <si>
    <t xml:space="preserve">log_0492</t>
  </si>
  <si>
    <t xml:space="preserve">log_0493</t>
  </si>
  <si>
    <t xml:space="preserve">log_0494</t>
  </si>
  <si>
    <t xml:space="preserve">log_0495</t>
  </si>
  <si>
    <t xml:space="preserve">log_0496</t>
  </si>
  <si>
    <t xml:space="preserve">log_0497</t>
  </si>
  <si>
    <t xml:space="preserve">log_0498</t>
  </si>
  <si>
    <t xml:space="preserve">log_0499</t>
  </si>
  <si>
    <t xml:space="preserve">log_0500</t>
  </si>
  <si>
    <t xml:space="preserve">log_0501</t>
  </si>
  <si>
    <t xml:space="preserve">log_0502</t>
  </si>
  <si>
    <t xml:space="preserve">log_0503</t>
  </si>
  <si>
    <t xml:space="preserve">log_0504</t>
  </si>
  <si>
    <t xml:space="preserve">log_0505</t>
  </si>
  <si>
    <t xml:space="preserve">log_0506</t>
  </si>
  <si>
    <t xml:space="preserve">log_0507</t>
  </si>
  <si>
    <t xml:space="preserve">log_0508</t>
  </si>
  <si>
    <t xml:space="preserve">log_0509</t>
  </si>
  <si>
    <t xml:space="preserve">log_0510</t>
  </si>
  <si>
    <t xml:space="preserve">log_0511</t>
  </si>
  <si>
    <t xml:space="preserve">log_0512</t>
  </si>
  <si>
    <t xml:space="preserve">log_0513</t>
  </si>
  <si>
    <t xml:space="preserve">log_0514</t>
  </si>
  <si>
    <t xml:space="preserve">log_0515</t>
  </si>
  <si>
    <t xml:space="preserve">log_0516</t>
  </si>
  <si>
    <t xml:space="preserve">log_0517</t>
  </si>
  <si>
    <t xml:space="preserve">log_0518</t>
  </si>
  <si>
    <t xml:space="preserve">log_0519</t>
  </si>
  <si>
    <t xml:space="preserve">log_0520</t>
  </si>
  <si>
    <t xml:space="preserve">log_0521</t>
  </si>
  <si>
    <t xml:space="preserve">log_0522</t>
  </si>
  <si>
    <t xml:space="preserve">log_0523</t>
  </si>
  <si>
    <t xml:space="preserve">log_0524</t>
  </si>
  <si>
    <t xml:space="preserve">log_0525</t>
  </si>
  <si>
    <t xml:space="preserve">log_0526</t>
  </si>
  <si>
    <t xml:space="preserve">log_0527</t>
  </si>
  <si>
    <t xml:space="preserve">log_0528</t>
  </si>
  <si>
    <t xml:space="preserve">log_0529</t>
  </si>
  <si>
    <t xml:space="preserve">log_0530</t>
  </si>
  <si>
    <t xml:space="preserve">log_0531</t>
  </si>
  <si>
    <t xml:space="preserve">log_0532</t>
  </si>
  <si>
    <t xml:space="preserve">log_0533</t>
  </si>
  <si>
    <t xml:space="preserve">log_0534</t>
  </si>
  <si>
    <t xml:space="preserve">log_0535</t>
  </si>
  <si>
    <t xml:space="preserve">log_0536</t>
  </si>
  <si>
    <t xml:space="preserve">log_0537</t>
  </si>
  <si>
    <t xml:space="preserve">log_0538</t>
  </si>
  <si>
    <t xml:space="preserve">log_0539</t>
  </si>
  <si>
    <t xml:space="preserve">log_0540</t>
  </si>
  <si>
    <t xml:space="preserve">log_0541</t>
  </si>
  <si>
    <t xml:space="preserve">log_0542</t>
  </si>
  <si>
    <t xml:space="preserve">log_0543</t>
  </si>
  <si>
    <t xml:space="preserve">log_0544</t>
  </si>
  <si>
    <t xml:space="preserve">log_0545</t>
  </si>
  <si>
    <t xml:space="preserve">log_0546</t>
  </si>
  <si>
    <t xml:space="preserve">log_0547</t>
  </si>
  <si>
    <t xml:space="preserve">log_0548</t>
  </si>
  <si>
    <t xml:space="preserve">log_0549</t>
  </si>
  <si>
    <t xml:space="preserve">log_0550</t>
  </si>
  <si>
    <t xml:space="preserve">log_0551</t>
  </si>
  <si>
    <t xml:space="preserve">log_0552</t>
  </si>
  <si>
    <t xml:space="preserve">log_0553</t>
  </si>
  <si>
    <t xml:space="preserve">log_0554</t>
  </si>
  <si>
    <t xml:space="preserve">log_0555</t>
  </si>
  <si>
    <t xml:space="preserve">log_0556</t>
  </si>
  <si>
    <t xml:space="preserve">log_0557</t>
  </si>
  <si>
    <t xml:space="preserve">log_0558</t>
  </si>
  <si>
    <t xml:space="preserve">log_0559</t>
  </si>
  <si>
    <t xml:space="preserve">log_0560</t>
  </si>
  <si>
    <t xml:space="preserve">log_0561</t>
  </si>
  <si>
    <t xml:space="preserve">log_0562</t>
  </si>
  <si>
    <t xml:space="preserve">log_0563</t>
  </si>
  <si>
    <t xml:space="preserve">log_0564</t>
  </si>
  <si>
    <t xml:space="preserve">log_0565</t>
  </si>
  <si>
    <t xml:space="preserve">log_0566</t>
  </si>
  <si>
    <t xml:space="preserve">log_0567</t>
  </si>
  <si>
    <t xml:space="preserve">log_0568</t>
  </si>
  <si>
    <t xml:space="preserve">log_0569</t>
  </si>
  <si>
    <t xml:space="preserve">log_0570</t>
  </si>
  <si>
    <t xml:space="preserve">log_0571</t>
  </si>
  <si>
    <t xml:space="preserve">log_0572</t>
  </si>
  <si>
    <t xml:space="preserve">log_0573</t>
  </si>
  <si>
    <t xml:space="preserve">log_0574</t>
  </si>
  <si>
    <t xml:space="preserve">log_0575</t>
  </si>
  <si>
    <t xml:space="preserve">log_0576</t>
  </si>
  <si>
    <t xml:space="preserve">log_0577</t>
  </si>
  <si>
    <t xml:space="preserve">log_0578</t>
  </si>
  <si>
    <t xml:space="preserve">log_0579</t>
  </si>
  <si>
    <t xml:space="preserve">log_0580</t>
  </si>
  <si>
    <t xml:space="preserve">log_0581</t>
  </si>
  <si>
    <t xml:space="preserve">log_0582</t>
  </si>
  <si>
    <t xml:space="preserve">log_0583</t>
  </si>
  <si>
    <t xml:space="preserve">log_0584</t>
  </si>
  <si>
    <t xml:space="preserve">log_0585</t>
  </si>
  <si>
    <t xml:space="preserve">log_0586</t>
  </si>
  <si>
    <t xml:space="preserve">log_0587</t>
  </si>
  <si>
    <t xml:space="preserve">log_0588</t>
  </si>
  <si>
    <t xml:space="preserve">log_0589</t>
  </si>
  <si>
    <t xml:space="preserve">log_0590</t>
  </si>
  <si>
    <t xml:space="preserve">log_0591</t>
  </si>
  <si>
    <t xml:space="preserve">log_0592</t>
  </si>
  <si>
    <t xml:space="preserve">log_0593</t>
  </si>
  <si>
    <t xml:space="preserve">log_0594</t>
  </si>
  <si>
    <t xml:space="preserve">log_0595</t>
  </si>
  <si>
    <t xml:space="preserve">log_0596</t>
  </si>
  <si>
    <t xml:space="preserve">log_0597</t>
  </si>
  <si>
    <t xml:space="preserve">log_0598</t>
  </si>
  <si>
    <t xml:space="preserve">log_0599</t>
  </si>
  <si>
    <t xml:space="preserve">log_0600</t>
  </si>
  <si>
    <t xml:space="preserve">log_0601</t>
  </si>
  <si>
    <t xml:space="preserve">log_0602</t>
  </si>
  <si>
    <t xml:space="preserve">log_0603</t>
  </si>
  <si>
    <t xml:space="preserve">log_0604</t>
  </si>
  <si>
    <t xml:space="preserve">log_0605</t>
  </si>
  <si>
    <t xml:space="preserve">log_0606</t>
  </si>
  <si>
    <t xml:space="preserve">log_0607</t>
  </si>
  <si>
    <t xml:space="preserve">log_0608</t>
  </si>
  <si>
    <t xml:space="preserve">log_0609</t>
  </si>
  <si>
    <t xml:space="preserve">log_0610</t>
  </si>
  <si>
    <t xml:space="preserve">log_0611</t>
  </si>
  <si>
    <t xml:space="preserve">log_0612</t>
  </si>
  <si>
    <t xml:space="preserve">log_0613</t>
  </si>
  <si>
    <t xml:space="preserve">log_0614</t>
  </si>
  <si>
    <t xml:space="preserve">log_0615</t>
  </si>
  <si>
    <t xml:space="preserve">log_0616</t>
  </si>
  <si>
    <t xml:space="preserve">log_0617</t>
  </si>
  <si>
    <t xml:space="preserve">log_0618</t>
  </si>
  <si>
    <t xml:space="preserve">log_0619</t>
  </si>
  <si>
    <t xml:space="preserve">log_0620</t>
  </si>
  <si>
    <t xml:space="preserve">log_0621</t>
  </si>
  <si>
    <t xml:space="preserve">log_0622</t>
  </si>
  <si>
    <t xml:space="preserve">log_0623</t>
  </si>
  <si>
    <t xml:space="preserve">log_0624</t>
  </si>
  <si>
    <t xml:space="preserve">log_0625</t>
  </si>
  <si>
    <t xml:space="preserve">log_0626</t>
  </si>
  <si>
    <t xml:space="preserve">log_0627</t>
  </si>
  <si>
    <t xml:space="preserve">log_0628</t>
  </si>
  <si>
    <t xml:space="preserve">log_0629</t>
  </si>
  <si>
    <t xml:space="preserve">log_0630</t>
  </si>
  <si>
    <t xml:space="preserve">log_0631</t>
  </si>
  <si>
    <t xml:space="preserve">log_0632</t>
  </si>
  <si>
    <t xml:space="preserve">log_0633</t>
  </si>
  <si>
    <t xml:space="preserve">log_0634</t>
  </si>
  <si>
    <t xml:space="preserve">log_0635</t>
  </si>
  <si>
    <t xml:space="preserve">log_0636</t>
  </si>
  <si>
    <t xml:space="preserve">log_0637</t>
  </si>
  <si>
    <t xml:space="preserve">log_0638</t>
  </si>
  <si>
    <t xml:space="preserve">log_0639</t>
  </si>
  <si>
    <t xml:space="preserve">log_0640</t>
  </si>
  <si>
    <t xml:space="preserve">log_0641</t>
  </si>
  <si>
    <t xml:space="preserve">log_0642</t>
  </si>
  <si>
    <t xml:space="preserve">log_0643</t>
  </si>
  <si>
    <t xml:space="preserve">log_0644</t>
  </si>
  <si>
    <t xml:space="preserve">log_0645</t>
  </si>
  <si>
    <t xml:space="preserve">log_0646</t>
  </si>
  <si>
    <t xml:space="preserve">log_0647</t>
  </si>
  <si>
    <t xml:space="preserve">log_0648</t>
  </si>
  <si>
    <t xml:space="preserve">log_0649</t>
  </si>
  <si>
    <t xml:space="preserve">log_0650</t>
  </si>
  <si>
    <t xml:space="preserve">log_0651</t>
  </si>
  <si>
    <t xml:space="preserve">log_0652</t>
  </si>
  <si>
    <t xml:space="preserve">log_0653</t>
  </si>
  <si>
    <t xml:space="preserve">log_0654</t>
  </si>
  <si>
    <t xml:space="preserve">log_0655</t>
  </si>
  <si>
    <t xml:space="preserve">log_0656</t>
  </si>
  <si>
    <t xml:space="preserve">log_0657</t>
  </si>
  <si>
    <t xml:space="preserve">log_0658</t>
  </si>
  <si>
    <t xml:space="preserve">log_0659</t>
  </si>
  <si>
    <t xml:space="preserve">log_0660</t>
  </si>
  <si>
    <t xml:space="preserve">log_0661</t>
  </si>
  <si>
    <t xml:space="preserve">log_0662</t>
  </si>
  <si>
    <t xml:space="preserve">log_0663</t>
  </si>
  <si>
    <t xml:space="preserve">log_0664</t>
  </si>
  <si>
    <t xml:space="preserve">log_0665</t>
  </si>
  <si>
    <t xml:space="preserve">log_0666</t>
  </si>
  <si>
    <t xml:space="preserve">log_0667</t>
  </si>
  <si>
    <t xml:space="preserve">log_0668</t>
  </si>
  <si>
    <t xml:space="preserve">log_0669</t>
  </si>
  <si>
    <t xml:space="preserve">log_0670</t>
  </si>
  <si>
    <t xml:space="preserve">log_0671</t>
  </si>
  <si>
    <t xml:space="preserve">log_0672</t>
  </si>
  <si>
    <t xml:space="preserve">log_0673</t>
  </si>
  <si>
    <t xml:space="preserve">log_0674</t>
  </si>
  <si>
    <t xml:space="preserve">log_0675</t>
  </si>
  <si>
    <t xml:space="preserve">log_0676</t>
  </si>
  <si>
    <t xml:space="preserve">log_0677</t>
  </si>
  <si>
    <t xml:space="preserve">log_0678</t>
  </si>
  <si>
    <t xml:space="preserve">log_0679</t>
  </si>
  <si>
    <t xml:space="preserve">log_0680</t>
  </si>
  <si>
    <t xml:space="preserve">log_0681</t>
  </si>
  <si>
    <t xml:space="preserve">log_0682</t>
  </si>
  <si>
    <t xml:space="preserve">log_0683</t>
  </si>
  <si>
    <t xml:space="preserve">log_0684</t>
  </si>
  <si>
    <t xml:space="preserve">log_0685</t>
  </si>
  <si>
    <t xml:space="preserve">log_0686</t>
  </si>
  <si>
    <t xml:space="preserve">log_0687</t>
  </si>
  <si>
    <t xml:space="preserve">log_0688</t>
  </si>
  <si>
    <t xml:space="preserve">log_0689</t>
  </si>
  <si>
    <t xml:space="preserve">log_0690</t>
  </si>
  <si>
    <t xml:space="preserve">log_0691</t>
  </si>
  <si>
    <t xml:space="preserve">log_0692</t>
  </si>
  <si>
    <t xml:space="preserve">log_0693</t>
  </si>
  <si>
    <t xml:space="preserve">log_0694</t>
  </si>
  <si>
    <t xml:space="preserve">log_0695</t>
  </si>
  <si>
    <t xml:space="preserve">log_0696</t>
  </si>
  <si>
    <t xml:space="preserve">log_0697</t>
  </si>
  <si>
    <t xml:space="preserve">log_0698</t>
  </si>
  <si>
    <t xml:space="preserve">log_0699</t>
  </si>
  <si>
    <t xml:space="preserve">log_0700</t>
  </si>
  <si>
    <t xml:space="preserve">log_0701</t>
  </si>
  <si>
    <t xml:space="preserve">log_0702</t>
  </si>
  <si>
    <t xml:space="preserve">log_0703</t>
  </si>
  <si>
    <t xml:space="preserve">log_0704</t>
  </si>
  <si>
    <t xml:space="preserve">log_0705</t>
  </si>
  <si>
    <t xml:space="preserve">log_0706</t>
  </si>
  <si>
    <t xml:space="preserve">log_0707</t>
  </si>
  <si>
    <t xml:space="preserve">log_0708</t>
  </si>
  <si>
    <t xml:space="preserve">log_0709</t>
  </si>
  <si>
    <t xml:space="preserve">log_0710</t>
  </si>
  <si>
    <t xml:space="preserve">log_0711</t>
  </si>
  <si>
    <t xml:space="preserve">log_0712</t>
  </si>
  <si>
    <t xml:space="preserve">log_0713</t>
  </si>
  <si>
    <t xml:space="preserve">log_0714</t>
  </si>
  <si>
    <t xml:space="preserve">log_0715</t>
  </si>
  <si>
    <t xml:space="preserve">log_0716</t>
  </si>
  <si>
    <t xml:space="preserve">log_0717</t>
  </si>
  <si>
    <t xml:space="preserve">log_0718</t>
  </si>
  <si>
    <t xml:space="preserve">log_0719</t>
  </si>
  <si>
    <t xml:space="preserve">log_0720</t>
  </si>
  <si>
    <t xml:space="preserve">log_0721</t>
  </si>
  <si>
    <t xml:space="preserve">log_0722</t>
  </si>
  <si>
    <t xml:space="preserve">log_0723</t>
  </si>
  <si>
    <t xml:space="preserve">log_0724</t>
  </si>
  <si>
    <t xml:space="preserve">log_0725</t>
  </si>
  <si>
    <t xml:space="preserve">log_0726</t>
  </si>
  <si>
    <t xml:space="preserve">log_0727</t>
  </si>
  <si>
    <t xml:space="preserve">log_0728</t>
  </si>
  <si>
    <t xml:space="preserve">log_0729</t>
  </si>
  <si>
    <t xml:space="preserve">log_0730</t>
  </si>
  <si>
    <t xml:space="preserve">log_0731</t>
  </si>
  <si>
    <t xml:space="preserve">log_0732</t>
  </si>
  <si>
    <t xml:space="preserve">log_0733</t>
  </si>
  <si>
    <t xml:space="preserve">log_0734</t>
  </si>
  <si>
    <t xml:space="preserve">log_0735</t>
  </si>
  <si>
    <t xml:space="preserve">log_0736</t>
  </si>
  <si>
    <t xml:space="preserve">log_0737</t>
  </si>
  <si>
    <t xml:space="preserve">log_0738</t>
  </si>
  <si>
    <t xml:space="preserve">log_0739</t>
  </si>
  <si>
    <t xml:space="preserve">log_0740</t>
  </si>
  <si>
    <t xml:space="preserve">log_0741</t>
  </si>
  <si>
    <t xml:space="preserve">log_0742</t>
  </si>
  <si>
    <t xml:space="preserve">log_0743</t>
  </si>
  <si>
    <t xml:space="preserve">log_0744</t>
  </si>
  <si>
    <t xml:space="preserve">log_0745</t>
  </si>
  <si>
    <t xml:space="preserve">log_0746</t>
  </si>
  <si>
    <t xml:space="preserve">log_0747</t>
  </si>
  <si>
    <t xml:space="preserve">log_0748</t>
  </si>
  <si>
    <t xml:space="preserve">log_0749</t>
  </si>
  <si>
    <t xml:space="preserve">log_0750</t>
  </si>
  <si>
    <t xml:space="preserve">log_0751</t>
  </si>
  <si>
    <t xml:space="preserve">log_0752</t>
  </si>
  <si>
    <t xml:space="preserve">log_0753</t>
  </si>
  <si>
    <t xml:space="preserve">log_0754</t>
  </si>
  <si>
    <t xml:space="preserve">log_0755</t>
  </si>
  <si>
    <t xml:space="preserve">log_0756</t>
  </si>
  <si>
    <t xml:space="preserve">log_0757</t>
  </si>
  <si>
    <t xml:space="preserve">log_0758</t>
  </si>
  <si>
    <t xml:space="preserve">log_0759</t>
  </si>
  <si>
    <t xml:space="preserve">log_0760</t>
  </si>
  <si>
    <t xml:space="preserve">log_0761</t>
  </si>
  <si>
    <t xml:space="preserve">log_0762</t>
  </si>
  <si>
    <t xml:space="preserve">log_0763</t>
  </si>
  <si>
    <t xml:space="preserve">log_0764</t>
  </si>
  <si>
    <t xml:space="preserve">log_0765</t>
  </si>
  <si>
    <t xml:space="preserve">log_0766</t>
  </si>
  <si>
    <t xml:space="preserve">log_0767</t>
  </si>
  <si>
    <t xml:space="preserve">log_0768</t>
  </si>
  <si>
    <t xml:space="preserve">log_0769</t>
  </si>
  <si>
    <t xml:space="preserve">log_0770</t>
  </si>
  <si>
    <t xml:space="preserve">log_0771</t>
  </si>
  <si>
    <t xml:space="preserve">log_0772</t>
  </si>
  <si>
    <t xml:space="preserve">log_0773</t>
  </si>
  <si>
    <t xml:space="preserve">log_0774</t>
  </si>
  <si>
    <t xml:space="preserve">log_0775</t>
  </si>
  <si>
    <t xml:space="preserve">log_0776</t>
  </si>
  <si>
    <t xml:space="preserve">log_0777</t>
  </si>
  <si>
    <t xml:space="preserve">log_0778</t>
  </si>
  <si>
    <t xml:space="preserve">log_0779</t>
  </si>
  <si>
    <t xml:space="preserve">log_0780</t>
  </si>
  <si>
    <t xml:space="preserve">log_0781</t>
  </si>
  <si>
    <t xml:space="preserve">log_0782</t>
  </si>
  <si>
    <t xml:space="preserve">log_0783</t>
  </si>
  <si>
    <t xml:space="preserve">log_0784</t>
  </si>
  <si>
    <t xml:space="preserve">log_0785</t>
  </si>
  <si>
    <t xml:space="preserve">log_0786</t>
  </si>
  <si>
    <t xml:space="preserve">log_0787</t>
  </si>
  <si>
    <t xml:space="preserve">log_0788</t>
  </si>
  <si>
    <t xml:space="preserve">log_0789</t>
  </si>
  <si>
    <t xml:space="preserve">log_0790</t>
  </si>
  <si>
    <t xml:space="preserve">log_0791</t>
  </si>
  <si>
    <t xml:space="preserve">log_0792</t>
  </si>
  <si>
    <t xml:space="preserve">log_0793</t>
  </si>
  <si>
    <t xml:space="preserve">log_0794</t>
  </si>
  <si>
    <t xml:space="preserve">log_0795</t>
  </si>
  <si>
    <t xml:space="preserve">log_0796</t>
  </si>
  <si>
    <t xml:space="preserve">log_0797</t>
  </si>
  <si>
    <t xml:space="preserve">log_0798</t>
  </si>
  <si>
    <t xml:space="preserve">log_0799</t>
  </si>
  <si>
    <t xml:space="preserve">log_0800</t>
  </si>
  <si>
    <t xml:space="preserve">log_0801</t>
  </si>
  <si>
    <t xml:space="preserve">log_0802</t>
  </si>
  <si>
    <t xml:space="preserve">log_0803</t>
  </si>
  <si>
    <t xml:space="preserve">log_0804</t>
  </si>
  <si>
    <t xml:space="preserve">log_0805</t>
  </si>
  <si>
    <t xml:space="preserve">log_0806</t>
  </si>
  <si>
    <t xml:space="preserve">log_0807</t>
  </si>
  <si>
    <t xml:space="preserve">log_0808</t>
  </si>
  <si>
    <t xml:space="preserve">log_0809</t>
  </si>
  <si>
    <t xml:space="preserve">log_0810</t>
  </si>
  <si>
    <t xml:space="preserve">log_0811</t>
  </si>
  <si>
    <t xml:space="preserve">log_0812</t>
  </si>
  <si>
    <t xml:space="preserve">log_0813</t>
  </si>
  <si>
    <t xml:space="preserve">log_0814</t>
  </si>
  <si>
    <t xml:space="preserve">log_0815</t>
  </si>
  <si>
    <t xml:space="preserve">log_0816</t>
  </si>
  <si>
    <t xml:space="preserve">log_0817</t>
  </si>
  <si>
    <t xml:space="preserve">log_0818</t>
  </si>
  <si>
    <t xml:space="preserve">log_0819</t>
  </si>
  <si>
    <t xml:space="preserve">log_0820</t>
  </si>
  <si>
    <t xml:space="preserve">log_0821</t>
  </si>
  <si>
    <t xml:space="preserve">log_0822</t>
  </si>
  <si>
    <t xml:space="preserve">log_0823</t>
  </si>
  <si>
    <t xml:space="preserve">log_0824</t>
  </si>
  <si>
    <t xml:space="preserve">log_0825</t>
  </si>
  <si>
    <t xml:space="preserve">log_0826</t>
  </si>
  <si>
    <t xml:space="preserve">log_0827</t>
  </si>
  <si>
    <t xml:space="preserve">log_0828</t>
  </si>
  <si>
    <t xml:space="preserve">log_0829</t>
  </si>
  <si>
    <t xml:space="preserve">log_0830</t>
  </si>
  <si>
    <t xml:space="preserve">log_0831</t>
  </si>
  <si>
    <t xml:space="preserve">log_0832</t>
  </si>
  <si>
    <t xml:space="preserve">log_0833</t>
  </si>
  <si>
    <t xml:space="preserve">log_0834</t>
  </si>
  <si>
    <t xml:space="preserve">log_0835</t>
  </si>
  <si>
    <t xml:space="preserve">log_0836</t>
  </si>
  <si>
    <t xml:space="preserve">log_0837</t>
  </si>
  <si>
    <t xml:space="preserve">log_0838</t>
  </si>
  <si>
    <t xml:space="preserve">log_0839</t>
  </si>
  <si>
    <t xml:space="preserve">log_0840</t>
  </si>
  <si>
    <t xml:space="preserve">log_0841</t>
  </si>
  <si>
    <t xml:space="preserve">log_0842</t>
  </si>
  <si>
    <t xml:space="preserve">log_0843</t>
  </si>
  <si>
    <t xml:space="preserve">log_0844</t>
  </si>
  <si>
    <t xml:space="preserve">log_0845</t>
  </si>
  <si>
    <t xml:space="preserve">log_0846</t>
  </si>
  <si>
    <t xml:space="preserve">log_0847</t>
  </si>
  <si>
    <t xml:space="preserve">log_0848</t>
  </si>
  <si>
    <t xml:space="preserve">log_0849</t>
  </si>
  <si>
    <t xml:space="preserve">log_0850</t>
  </si>
  <si>
    <t xml:space="preserve">log_0851</t>
  </si>
  <si>
    <t xml:space="preserve">log_0852</t>
  </si>
  <si>
    <t xml:space="preserve">log_0853</t>
  </si>
  <si>
    <t xml:space="preserve">log_0854</t>
  </si>
  <si>
    <t xml:space="preserve">log_0855</t>
  </si>
  <si>
    <t xml:space="preserve">log_0856</t>
  </si>
  <si>
    <t xml:space="preserve">log_0857</t>
  </si>
  <si>
    <t xml:space="preserve">log_0858</t>
  </si>
  <si>
    <t xml:space="preserve">log_0859</t>
  </si>
  <si>
    <t xml:space="preserve">log_0860</t>
  </si>
  <si>
    <t xml:space="preserve">log_0861</t>
  </si>
  <si>
    <t xml:space="preserve">log_0862</t>
  </si>
  <si>
    <t xml:space="preserve">log_0863</t>
  </si>
  <si>
    <t xml:space="preserve">log_0864</t>
  </si>
  <si>
    <t xml:space="preserve">log_0865</t>
  </si>
  <si>
    <t xml:space="preserve">log_0866</t>
  </si>
  <si>
    <t xml:space="preserve">log_0867</t>
  </si>
  <si>
    <t xml:space="preserve">log_0868</t>
  </si>
  <si>
    <t xml:space="preserve">log_0869</t>
  </si>
  <si>
    <t xml:space="preserve">log_0870</t>
  </si>
  <si>
    <t xml:space="preserve">log_0871</t>
  </si>
  <si>
    <t xml:space="preserve">log_0872</t>
  </si>
  <si>
    <t xml:space="preserve">log_0873</t>
  </si>
  <si>
    <t xml:space="preserve">log_0874</t>
  </si>
  <si>
    <t xml:space="preserve">log_0875</t>
  </si>
  <si>
    <t xml:space="preserve">log_0876</t>
  </si>
  <si>
    <t xml:space="preserve">log_0877</t>
  </si>
  <si>
    <t xml:space="preserve">log_0878</t>
  </si>
  <si>
    <t xml:space="preserve">log_0879</t>
  </si>
  <si>
    <t xml:space="preserve">log_0880</t>
  </si>
  <si>
    <t xml:space="preserve">log_0881</t>
  </si>
  <si>
    <t xml:space="preserve">log_0882</t>
  </si>
  <si>
    <t xml:space="preserve">log_0883</t>
  </si>
  <si>
    <t xml:space="preserve">log_0884</t>
  </si>
  <si>
    <t xml:space="preserve">log_0885</t>
  </si>
  <si>
    <t xml:space="preserve">log_0886</t>
  </si>
  <si>
    <t xml:space="preserve">log_0887</t>
  </si>
  <si>
    <t xml:space="preserve">log_0888</t>
  </si>
  <si>
    <t xml:space="preserve">log_0889</t>
  </si>
  <si>
    <t xml:space="preserve">log_0890</t>
  </si>
  <si>
    <t xml:space="preserve">log_0891</t>
  </si>
  <si>
    <t xml:space="preserve">log_0892</t>
  </si>
  <si>
    <t xml:space="preserve">log_0893</t>
  </si>
  <si>
    <t xml:space="preserve">log_0894</t>
  </si>
  <si>
    <t xml:space="preserve">log_0895</t>
  </si>
  <si>
    <t xml:space="preserve">log_0896</t>
  </si>
  <si>
    <t xml:space="preserve">log_0897</t>
  </si>
  <si>
    <t xml:space="preserve">log_0898</t>
  </si>
  <si>
    <t xml:space="preserve">log_0899</t>
  </si>
  <si>
    <t xml:space="preserve">log_0900</t>
  </si>
  <si>
    <t xml:space="preserve">log_0901</t>
  </si>
  <si>
    <t xml:space="preserve">log_0902</t>
  </si>
  <si>
    <t xml:space="preserve">log_0903</t>
  </si>
  <si>
    <t xml:space="preserve">log_0904</t>
  </si>
  <si>
    <t xml:space="preserve">log_0905</t>
  </si>
  <si>
    <t xml:space="preserve">log_0906</t>
  </si>
  <si>
    <t xml:space="preserve">log_0907</t>
  </si>
  <si>
    <t xml:space="preserve">log_0908</t>
  </si>
  <si>
    <t xml:space="preserve">log_0909</t>
  </si>
  <si>
    <t xml:space="preserve">log_0910</t>
  </si>
  <si>
    <t xml:space="preserve">log_0911</t>
  </si>
  <si>
    <t xml:space="preserve">log_0912</t>
  </si>
  <si>
    <t xml:space="preserve">log_0913</t>
  </si>
  <si>
    <t xml:space="preserve">log_0914</t>
  </si>
  <si>
    <t xml:space="preserve">log_0915</t>
  </si>
  <si>
    <t xml:space="preserve">log_0916</t>
  </si>
  <si>
    <t xml:space="preserve">log_0917</t>
  </si>
  <si>
    <t xml:space="preserve">log_0918</t>
  </si>
  <si>
    <t xml:space="preserve">log_0919</t>
  </si>
  <si>
    <t xml:space="preserve">log_0920</t>
  </si>
  <si>
    <t xml:space="preserve">log_0921</t>
  </si>
  <si>
    <t xml:space="preserve">log_0922</t>
  </si>
  <si>
    <t xml:space="preserve">log_0923</t>
  </si>
  <si>
    <t xml:space="preserve">log_0924</t>
  </si>
  <si>
    <t xml:space="preserve">log_0925</t>
  </si>
  <si>
    <t xml:space="preserve">log_0926</t>
  </si>
  <si>
    <t xml:space="preserve">log_0927</t>
  </si>
  <si>
    <t xml:space="preserve">log_0928</t>
  </si>
  <si>
    <t xml:space="preserve">log_0929</t>
  </si>
  <si>
    <t xml:space="preserve">log_0930</t>
  </si>
  <si>
    <t xml:space="preserve">log_0931</t>
  </si>
  <si>
    <t xml:space="preserve">log_0932</t>
  </si>
  <si>
    <t xml:space="preserve">log_0933</t>
  </si>
  <si>
    <t xml:space="preserve">log_0934</t>
  </si>
  <si>
    <t xml:space="preserve">log_0935</t>
  </si>
  <si>
    <t xml:space="preserve">log_0936</t>
  </si>
  <si>
    <t xml:space="preserve">log_0937</t>
  </si>
  <si>
    <t xml:space="preserve">log_0938</t>
  </si>
  <si>
    <t xml:space="preserve">log_0939</t>
  </si>
  <si>
    <t xml:space="preserve">log_0940</t>
  </si>
  <si>
    <t xml:space="preserve">log_0941</t>
  </si>
  <si>
    <t xml:space="preserve">log_0942</t>
  </si>
  <si>
    <t xml:space="preserve">log_0943</t>
  </si>
  <si>
    <t xml:space="preserve">log_0944</t>
  </si>
  <si>
    <t xml:space="preserve">log_0945</t>
  </si>
  <si>
    <t xml:space="preserve">log_0946</t>
  </si>
  <si>
    <t xml:space="preserve">log_0947</t>
  </si>
  <si>
    <t xml:space="preserve">log_0948</t>
  </si>
  <si>
    <t xml:space="preserve">log_0949</t>
  </si>
  <si>
    <t xml:space="preserve">log_0950</t>
  </si>
  <si>
    <t xml:space="preserve">log_0951</t>
  </si>
  <si>
    <t xml:space="preserve">log_0952</t>
  </si>
  <si>
    <t xml:space="preserve">log_0953</t>
  </si>
  <si>
    <t xml:space="preserve">log_0954</t>
  </si>
  <si>
    <t xml:space="preserve">log_0955</t>
  </si>
  <si>
    <t xml:space="preserve">log_0956</t>
  </si>
  <si>
    <t xml:space="preserve">log_0957</t>
  </si>
  <si>
    <t xml:space="preserve">log_0958</t>
  </si>
  <si>
    <t xml:space="preserve">log_0959</t>
  </si>
  <si>
    <t xml:space="preserve">log_0960</t>
  </si>
  <si>
    <t xml:space="preserve">log_0961</t>
  </si>
  <si>
    <t xml:space="preserve">log_0962</t>
  </si>
  <si>
    <t xml:space="preserve">log_0963</t>
  </si>
  <si>
    <t xml:space="preserve">log_0964</t>
  </si>
  <si>
    <t xml:space="preserve">log_0965</t>
  </si>
  <si>
    <t xml:space="preserve">log_0966</t>
  </si>
  <si>
    <t xml:space="preserve">log_0967</t>
  </si>
  <si>
    <t xml:space="preserve">log_0968</t>
  </si>
  <si>
    <t xml:space="preserve">log_0969</t>
  </si>
  <si>
    <t xml:space="preserve">log_0970</t>
  </si>
  <si>
    <t xml:space="preserve">log_0971</t>
  </si>
  <si>
    <t xml:space="preserve">log_0972</t>
  </si>
  <si>
    <t xml:space="preserve">log_0973</t>
  </si>
  <si>
    <t xml:space="preserve">log_0974</t>
  </si>
  <si>
    <t xml:space="preserve">log_0975</t>
  </si>
  <si>
    <t xml:space="preserve">log_0976</t>
  </si>
  <si>
    <t xml:space="preserve">log_0977</t>
  </si>
  <si>
    <t xml:space="preserve">log_0978</t>
  </si>
  <si>
    <t xml:space="preserve">log_0979</t>
  </si>
  <si>
    <t xml:space="preserve">log_0980</t>
  </si>
  <si>
    <t xml:space="preserve">log_0981</t>
  </si>
  <si>
    <t xml:space="preserve">log_0982</t>
  </si>
  <si>
    <t xml:space="preserve">log_0983</t>
  </si>
  <si>
    <t xml:space="preserve">log_0984</t>
  </si>
  <si>
    <t xml:space="preserve">log_0985</t>
  </si>
  <si>
    <t xml:space="preserve">log_0986</t>
  </si>
  <si>
    <t xml:space="preserve">log_0987</t>
  </si>
  <si>
    <t xml:space="preserve">log_0988</t>
  </si>
  <si>
    <t xml:space="preserve">log_0989</t>
  </si>
  <si>
    <t xml:space="preserve">log_0990</t>
  </si>
  <si>
    <t xml:space="preserve">log_0991</t>
  </si>
  <si>
    <t xml:space="preserve">log_0992</t>
  </si>
  <si>
    <t xml:space="preserve">log_0993</t>
  </si>
  <si>
    <t xml:space="preserve">log_0994</t>
  </si>
  <si>
    <t xml:space="preserve">log_0995</t>
  </si>
  <si>
    <t xml:space="preserve">log_0996</t>
  </si>
  <si>
    <t xml:space="preserve">log_0997</t>
  </si>
  <si>
    <t xml:space="preserve">log_0998</t>
  </si>
  <si>
    <t xml:space="preserve">log_0999</t>
  </si>
  <si>
    <t xml:space="preserve">log_1000</t>
  </si>
  <si>
    <t xml:space="preserve">log_1001</t>
  </si>
  <si>
    <t xml:space="preserve">log_1002</t>
  </si>
  <si>
    <t xml:space="preserve">log_1003</t>
  </si>
  <si>
    <t xml:space="preserve">log_1004</t>
  </si>
  <si>
    <t xml:space="preserve">log_1005</t>
  </si>
  <si>
    <t xml:space="preserve">log_1006</t>
  </si>
  <si>
    <t xml:space="preserve">log_1007</t>
  </si>
  <si>
    <t xml:space="preserve">log_1008</t>
  </si>
  <si>
    <t xml:space="preserve">log_1009</t>
  </si>
  <si>
    <t xml:space="preserve">log_1010</t>
  </si>
  <si>
    <t xml:space="preserve">log_1011</t>
  </si>
  <si>
    <t xml:space="preserve">log_1012</t>
  </si>
  <si>
    <t xml:space="preserve">log_1013</t>
  </si>
  <si>
    <t xml:space="preserve">log_1014</t>
  </si>
  <si>
    <t xml:space="preserve">log_1015</t>
  </si>
  <si>
    <t xml:space="preserve">log_1016</t>
  </si>
  <si>
    <t xml:space="preserve">log_1017</t>
  </si>
  <si>
    <t xml:space="preserve">log_1018</t>
  </si>
  <si>
    <t xml:space="preserve">log_1019</t>
  </si>
  <si>
    <t xml:space="preserve">log_1020</t>
  </si>
  <si>
    <t xml:space="preserve">log_1021</t>
  </si>
  <si>
    <t xml:space="preserve">log_1022</t>
  </si>
  <si>
    <t xml:space="preserve">log_1023</t>
  </si>
  <si>
    <t xml:space="preserve">log_1024</t>
  </si>
  <si>
    <t xml:space="preserve">log_1025</t>
  </si>
  <si>
    <t xml:space="preserve">log_1026</t>
  </si>
  <si>
    <t xml:space="preserve">log_1027</t>
  </si>
  <si>
    <t xml:space="preserve">log_1028</t>
  </si>
  <si>
    <t xml:space="preserve">log_1029</t>
  </si>
  <si>
    <t xml:space="preserve">log_1030</t>
  </si>
  <si>
    <t xml:space="preserve">log_1031</t>
  </si>
  <si>
    <t xml:space="preserve">log_1032</t>
  </si>
  <si>
    <t xml:space="preserve">log_1033</t>
  </si>
  <si>
    <t xml:space="preserve">log_1034</t>
  </si>
  <si>
    <t xml:space="preserve">log_1035</t>
  </si>
  <si>
    <t xml:space="preserve">log_1036</t>
  </si>
  <si>
    <t xml:space="preserve">log_1037</t>
  </si>
  <si>
    <t xml:space="preserve">log_1038</t>
  </si>
  <si>
    <t xml:space="preserve">log_1039</t>
  </si>
  <si>
    <t xml:space="preserve">log_1040</t>
  </si>
  <si>
    <t xml:space="preserve">log_1041</t>
  </si>
  <si>
    <t xml:space="preserve">log_1042</t>
  </si>
  <si>
    <t xml:space="preserve">log_1043</t>
  </si>
  <si>
    <t xml:space="preserve">log_1044</t>
  </si>
  <si>
    <t xml:space="preserve">log_1045</t>
  </si>
  <si>
    <t xml:space="preserve">log_1046</t>
  </si>
  <si>
    <t xml:space="preserve">log_1047</t>
  </si>
  <si>
    <t xml:space="preserve">log_1048</t>
  </si>
  <si>
    <t xml:space="preserve">log_1049</t>
  </si>
  <si>
    <t xml:space="preserve">log_1050</t>
  </si>
  <si>
    <t xml:space="preserve">log_1051</t>
  </si>
  <si>
    <t xml:space="preserve">log_1052</t>
  </si>
  <si>
    <t xml:space="preserve">log_1053</t>
  </si>
  <si>
    <t xml:space="preserve">log_1054</t>
  </si>
  <si>
    <t xml:space="preserve">log_1055</t>
  </si>
  <si>
    <t xml:space="preserve">log_1056</t>
  </si>
  <si>
    <t xml:space="preserve">log_1057</t>
  </si>
  <si>
    <t xml:space="preserve">log_1058</t>
  </si>
  <si>
    <t xml:space="preserve">log_1059</t>
  </si>
  <si>
    <t xml:space="preserve">log_1060</t>
  </si>
  <si>
    <t xml:space="preserve">log_1061</t>
  </si>
  <si>
    <t xml:space="preserve">log_1062</t>
  </si>
  <si>
    <t xml:space="preserve">log_1063</t>
  </si>
  <si>
    <t xml:space="preserve">log_1064</t>
  </si>
  <si>
    <t xml:space="preserve">log_1065</t>
  </si>
  <si>
    <t xml:space="preserve">log_1066</t>
  </si>
  <si>
    <t xml:space="preserve">log_1067</t>
  </si>
  <si>
    <t xml:space="preserve">log_1068</t>
  </si>
  <si>
    <t xml:space="preserve">log_1069</t>
  </si>
  <si>
    <t xml:space="preserve">log_1070</t>
  </si>
  <si>
    <t xml:space="preserve">log_1071</t>
  </si>
  <si>
    <t xml:space="preserve">log_1072</t>
  </si>
  <si>
    <t xml:space="preserve">log_1073</t>
  </si>
  <si>
    <t xml:space="preserve">log_1074</t>
  </si>
  <si>
    <t xml:space="preserve">log_1075</t>
  </si>
  <si>
    <t xml:space="preserve">log_1076</t>
  </si>
  <si>
    <t xml:space="preserve">log_1077</t>
  </si>
  <si>
    <t xml:space="preserve">log_1078</t>
  </si>
  <si>
    <t xml:space="preserve">log_1079</t>
  </si>
  <si>
    <t xml:space="preserve">log_1080</t>
  </si>
  <si>
    <t xml:space="preserve">log_1081</t>
  </si>
  <si>
    <t xml:space="preserve">log_1082</t>
  </si>
  <si>
    <t xml:space="preserve">log_1083</t>
  </si>
  <si>
    <t xml:space="preserve">log_1084</t>
  </si>
  <si>
    <t xml:space="preserve">log_1085</t>
  </si>
  <si>
    <t xml:space="preserve">log_1086</t>
  </si>
  <si>
    <t xml:space="preserve">log_1087</t>
  </si>
  <si>
    <t xml:space="preserve">log_1088</t>
  </si>
  <si>
    <t xml:space="preserve">log_1089</t>
  </si>
  <si>
    <t xml:space="preserve">log_1090</t>
  </si>
  <si>
    <t xml:space="preserve">log_1091</t>
  </si>
  <si>
    <t xml:space="preserve">log_1092</t>
  </si>
  <si>
    <t xml:space="preserve">log_1093</t>
  </si>
  <si>
    <t xml:space="preserve">log_1094</t>
  </si>
  <si>
    <t xml:space="preserve">log_1095</t>
  </si>
  <si>
    <t xml:space="preserve">log_1096</t>
  </si>
  <si>
    <t xml:space="preserve">log_1097</t>
  </si>
  <si>
    <t xml:space="preserve">log_1098</t>
  </si>
  <si>
    <t xml:space="preserve">log_1099</t>
  </si>
  <si>
    <t xml:space="preserve">log_1100</t>
  </si>
  <si>
    <t xml:space="preserve">log_1101</t>
  </si>
  <si>
    <t xml:space="preserve">log_1102</t>
  </si>
  <si>
    <t xml:space="preserve">log_1103</t>
  </si>
  <si>
    <t xml:space="preserve">log_1104</t>
  </si>
  <si>
    <t xml:space="preserve">log_1105</t>
  </si>
  <si>
    <t xml:space="preserve">log_1106</t>
  </si>
  <si>
    <t xml:space="preserve">log_1107</t>
  </si>
  <si>
    <t xml:space="preserve">log_1108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</si>
</sst>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sz val="11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1"/>
      <color rgb="FFFFFFFF"/>
      <name val="Tahom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9" hidden="false" customHeight="false" outlineLevel="0" collapsed="false">
      <c r="A3" s="2" t="s">
        <v>1</v>
      </c>
    </row>
    <row r="4" customFormat="false" ht="14.9" hidden="false" customHeight="false" outlineLevel="0" collapsed="false">
      <c r="A4" s="2" t="s">
        <v>2</v>
      </c>
    </row>
    <row r="5" customFormat="false" ht="14.9" hidden="false" customHeight="false" outlineLevel="0" collapsed="false">
      <c r="A5" s="2" t="s">
        <v>3</v>
      </c>
    </row>
    <row r="6" customFormat="false" ht="14.9" hidden="false" customHeight="false" outlineLevel="0" collapsed="false">
      <c r="A6" s="2" t="s">
        <v>4</v>
      </c>
    </row>
    <row r="7" customFormat="false" ht="14.9" hidden="false" customHeight="false" outlineLevel="0" collapsed="false">
      <c r="A7" s="2" t="s">
        <v>5</v>
      </c>
    </row>
    <row r="8" customFormat="false" ht="14.9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4.9" hidden="false" customHeight="false" outlineLevel="0" collapsed="false">
      <c r="A11" s="2" t="s">
        <v>8</v>
      </c>
    </row>
    <row r="12" customFormat="false" ht="14.9" hidden="false" customHeight="false" outlineLevel="0" collapsed="false">
      <c r="A12" s="2" t="s">
        <v>9</v>
      </c>
    </row>
    <row r="13" customFormat="false" ht="14.9" hidden="false" customHeight="false" outlineLevel="0" collapsed="false">
      <c r="A13" s="2" t="s">
        <v>10</v>
      </c>
    </row>
    <row r="14" customFormat="false" ht="14.9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12</v>
      </c>
    </row>
    <row r="17" customFormat="false" ht="14.9" hidden="false" customHeight="false" outlineLevel="0" collapsed="false">
      <c r="A17" s="2" t="s">
        <v>13</v>
      </c>
    </row>
    <row r="18" customFormat="false" ht="14.9" hidden="false" customHeight="false" outlineLevel="0" collapsed="false">
      <c r="A18" s="2" t="s">
        <v>14</v>
      </c>
    </row>
    <row r="19" customFormat="false" ht="14.9" hidden="false" customHeight="false" outlineLevel="0" collapsed="false">
      <c r="A19" s="2" t="s">
        <v>15</v>
      </c>
    </row>
    <row r="20" customFormat="false" ht="14.9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2" t="s">
        <v>17</v>
      </c>
    </row>
    <row r="23" customFormat="false" ht="14.9" hidden="false" customHeight="false" outlineLevel="0" collapsed="false">
      <c r="A23" s="2" t="s">
        <v>18</v>
      </c>
    </row>
    <row r="24" customFormat="false" ht="14.9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3" t="s">
        <v>21</v>
      </c>
      <c r="B1" s="3" t="s">
        <v>22</v>
      </c>
      <c r="C1" s="3" t="s">
        <v>23</v>
      </c>
      <c r="D1" s="3"/>
    </row>
    <row r="2" customFormat="false" ht="15" hidden="false" customHeight="false" outlineLevel="0" collapsed="false">
      <c r="A2" s="2" t="s">
        <v>24</v>
      </c>
      <c r="B2" s="2" t="n">
        <f aca="false">COUNTA(categories!A:A)-1</f>
        <v>8</v>
      </c>
      <c r="C2" s="2" t="s">
        <v>25</v>
      </c>
      <c r="D2" s="2"/>
    </row>
    <row r="3" customFormat="false" ht="15" hidden="false" customHeight="false" outlineLevel="0" collapsed="false">
      <c r="A3" s="2" t="s">
        <v>26</v>
      </c>
      <c r="B3" s="2" t="n">
        <f aca="false">COUNTA(vendor_types!A:A)-1</f>
        <v>7</v>
      </c>
      <c r="C3" s="2" t="s">
        <v>25</v>
      </c>
      <c r="D3" s="2"/>
    </row>
    <row r="4" customFormat="false" ht="15" hidden="false" customHeight="false" outlineLevel="0" collapsed="false">
      <c r="A4" s="2" t="s">
        <v>27</v>
      </c>
      <c r="B4" s="2" t="n">
        <f aca="false">COUNTA(activity_levels!A:A)-1</f>
        <v>5</v>
      </c>
      <c r="C4" s="2" t="s">
        <v>25</v>
      </c>
      <c r="D4" s="2"/>
    </row>
    <row r="5" customFormat="false" ht="15" hidden="false" customHeight="false" outlineLevel="0" collapsed="false">
      <c r="A5" s="2" t="s">
        <v>28</v>
      </c>
      <c r="B5" s="2" t="n">
        <f aca="false">COUNTA(health_goals!A:A)-1</f>
        <v>3</v>
      </c>
      <c r="C5" s="2" t="s">
        <v>25</v>
      </c>
      <c r="D5" s="2"/>
    </row>
    <row r="6" customFormat="false" ht="15" hidden="false" customHeight="false" outlineLevel="0" collapsed="false">
      <c r="A6" s="2" t="s">
        <v>29</v>
      </c>
      <c r="B6" s="2" t="n">
        <f aca="false">COUNTA(nutrient_limits!A:A)-1</f>
        <v>7</v>
      </c>
      <c r="C6" s="2" t="s">
        <v>25</v>
      </c>
      <c r="D6" s="2"/>
    </row>
    <row r="7" customFormat="false" ht="15" hidden="false" customHeight="false" outlineLevel="0" collapsed="false">
      <c r="A7" s="2" t="s">
        <v>30</v>
      </c>
      <c r="B7" s="2" t="n">
        <f aca="false">COUNTA(menus!A:A)-1</f>
        <v>49</v>
      </c>
      <c r="C7" s="2" t="s">
        <v>25</v>
      </c>
      <c r="D7" s="2"/>
    </row>
    <row r="8" customFormat="false" ht="15" hidden="false" customHeight="false" outlineLevel="0" collapsed="false">
      <c r="A8" s="2" t="s">
        <v>31</v>
      </c>
      <c r="B8" s="2" t="n">
        <f aca="false">COUNTA(articles!A:A)-1</f>
        <v>12</v>
      </c>
      <c r="C8" s="2" t="s">
        <v>25</v>
      </c>
      <c r="D8" s="2"/>
    </row>
    <row r="9" customFormat="false" ht="15" hidden="false" customHeight="false" outlineLevel="0" collapsed="false">
      <c r="A9" s="2" t="s">
        <v>32</v>
      </c>
      <c r="B9" s="2" t="n">
        <f aca="false">COUNTA(menu_images!A:A)-1</f>
        <v>61</v>
      </c>
      <c r="C9" s="2" t="s">
        <v>25</v>
      </c>
      <c r="D9" s="2"/>
    </row>
    <row r="10" customFormat="false" ht="15" hidden="false" customHeight="false" outlineLevel="0" collapsed="false">
      <c r="A10" s="2" t="s">
        <v>33</v>
      </c>
      <c r="B10" s="2" t="n">
        <f aca="false">COUNTA(sources!A:A)-1</f>
        <v>17</v>
      </c>
      <c r="C10" s="2" t="s">
        <v>25</v>
      </c>
      <c r="D10" s="2"/>
    </row>
    <row r="11" customFormat="false" ht="15" hidden="false" customHeight="false" outlineLevel="0" collapsed="false">
      <c r="A11" s="2" t="s">
        <v>34</v>
      </c>
      <c r="B11" s="2" t="n">
        <f aca="false">COUNTA(users!A:A)-1</f>
        <v>25</v>
      </c>
      <c r="C11" s="2" t="s">
        <v>25</v>
      </c>
      <c r="D11" s="2"/>
    </row>
    <row r="12" customFormat="false" ht="15" hidden="false" customHeight="false" outlineLevel="0" collapsed="false">
      <c r="A12" s="2" t="s">
        <v>35</v>
      </c>
      <c r="B12" s="2" t="n">
        <f aca="false">COUNTA(user_targets!A:A)-1</f>
        <v>25</v>
      </c>
      <c r="C12" s="2" t="s">
        <v>25</v>
      </c>
      <c r="D12" s="2"/>
    </row>
    <row r="13" customFormat="false" ht="15" hidden="false" customHeight="false" outlineLevel="0" collapsed="false">
      <c r="A13" s="2" t="s">
        <v>36</v>
      </c>
      <c r="B13" s="2" t="n">
        <f aca="false">COUNTA(meal_logs!A:A)-1</f>
        <v>1108</v>
      </c>
      <c r="C13" s="2" t="s">
        <v>25</v>
      </c>
      <c r="D13" s="2"/>
    </row>
    <row r="14" customFormat="false" ht="15" hidden="false" customHeight="false" outlineLevel="0" collapsed="false">
      <c r="A14" s="2" t="s">
        <v>37</v>
      </c>
      <c r="B14" s="2" t="n">
        <f aca="false">SUM(B2:B13)</f>
        <v>1327</v>
      </c>
      <c r="C14" s="2"/>
      <c r="D14" s="2"/>
    </row>
    <row r="15" customFormat="false" ht="15" hidden="false" customHeight="false" outlineLevel="0" collapsed="false">
      <c r="A15" s="2" t="s">
        <v>38</v>
      </c>
      <c r="B15" s="2" t="n">
        <f aca="false">COUNTIF(menus!V:V,"PENDING")</f>
        <v>49</v>
      </c>
      <c r="C15" s="2"/>
      <c r="D15" s="2"/>
    </row>
    <row r="16" customFormat="false" ht="15" hidden="false" customHeight="false" outlineLevel="0" collapsed="false">
      <c r="A16" s="2" t="s">
        <v>39</v>
      </c>
      <c r="B16" s="2" t="n">
        <f aca="false">COUNTIFS(menu_images!C:C,"menu",menu_images!H:H,"DONE")</f>
        <v>49</v>
      </c>
      <c r="C16" s="2"/>
      <c r="D16" s="2"/>
    </row>
    <row r="17" customFormat="false" ht="15" hidden="false" customHeight="false" outlineLevel="0" collapsed="false">
      <c r="A17" s="2" t="s">
        <v>40</v>
      </c>
      <c r="B17" s="2" t="n">
        <f aca="false">COUNTIFS(menu_images!C:C,"article_cover",menu_images!H:H,"TODO")</f>
        <v>12</v>
      </c>
      <c r="C17" s="2"/>
      <c r="D17" s="2"/>
    </row>
    <row r="18" customFormat="false" ht="15" hidden="false" customHeight="false" outlineLevel="0" collapsed="false">
      <c r="A18" s="2" t="s">
        <v>41</v>
      </c>
      <c r="B18" s="2" t="n">
        <f aca="false">SUMPRODUCT((meal_logs!B2:B1109&amp;meal_logs!C2:C1109&lt;&gt;"")/COUNTIFS(meal_logs!B2:B1109,meal_logs!B2:B1109,meal_logs!C2:C1109,meal_logs!C2:C1109))</f>
        <v>304</v>
      </c>
      <c r="C18" s="2" t="s">
        <v>42</v>
      </c>
      <c r="D18" s="2"/>
    </row>
    <row r="19" customFormat="false" ht="15" hidden="false" customHeight="false" outlineLevel="0" collapsed="false">
      <c r="A19" s="2"/>
      <c r="B19" s="2"/>
      <c r="C19" s="2"/>
      <c r="D19" s="2"/>
    </row>
    <row r="20" customFormat="false" ht="15" hidden="false" customHeight="false" outlineLevel="0" collapsed="false">
      <c r="A20" s="3" t="s">
        <v>43</v>
      </c>
      <c r="B20" s="3" t="s">
        <v>44</v>
      </c>
      <c r="C20" s="3" t="s">
        <v>45</v>
      </c>
      <c r="D20" s="3" t="s">
        <v>46</v>
      </c>
    </row>
    <row r="21" customFormat="false" ht="15" hidden="false" customHeight="false" outlineLevel="0" collapsed="false">
      <c r="A21" s="2" t="str">
        <f aca="false">categories!A2</f>
        <v>cat_rice</v>
      </c>
      <c r="B21" s="2" t="n">
        <f aca="false">COUNTIF(menus!$D$2:$D$50,A21)</f>
        <v>6</v>
      </c>
      <c r="C21" s="2" t="n">
        <f aca="false">ROUND(AVERAGEIF(menus!$D$2:$D$50,A21,menus!$I$2:$I$50),0)</f>
        <v>628</v>
      </c>
      <c r="D21" s="2" t="n">
        <f aca="false">ROUND(AVERAGEIF(menus!$D$2:$D$50,A21,menus!$O$2:$O$50),0)</f>
        <v>1325</v>
      </c>
    </row>
    <row r="22" customFormat="false" ht="15" hidden="false" customHeight="false" outlineLevel="0" collapsed="false">
      <c r="A22" s="2" t="str">
        <f aca="false">categories!A3</f>
        <v>cat_stir</v>
      </c>
      <c r="B22" s="2" t="n">
        <f aca="false">COUNTIF(menus!$D$2:$D$50,A22)</f>
        <v>9</v>
      </c>
      <c r="C22" s="2" t="n">
        <f aca="false">ROUND(AVERAGEIF(menus!$D$2:$D$50,A22,menus!$I$2:$I$50),0)</f>
        <v>638</v>
      </c>
      <c r="D22" s="2" t="n">
        <f aca="false">ROUND(AVERAGEIF(menus!$D$2:$D$50,A22,menus!$O$2:$O$50),0)</f>
        <v>1450</v>
      </c>
    </row>
    <row r="23" customFormat="false" ht="15" hidden="false" customHeight="false" outlineLevel="0" collapsed="false">
      <c r="A23" s="2" t="str">
        <f aca="false">categories!A4</f>
        <v>cat_noodle</v>
      </c>
      <c r="B23" s="2" t="n">
        <f aca="false">COUNTIF(menus!$D$2:$D$50,A23)</f>
        <v>12</v>
      </c>
      <c r="C23" s="2" t="n">
        <f aca="false">ROUND(AVERAGEIF(menus!$D$2:$D$50,A23,menus!$I$2:$I$50),0)</f>
        <v>500</v>
      </c>
      <c r="D23" s="2" t="n">
        <f aca="false">ROUND(AVERAGEIF(menus!$D$2:$D$50,A23,menus!$O$2:$O$50),0)</f>
        <v>1679</v>
      </c>
    </row>
    <row r="24" customFormat="false" ht="15" hidden="false" customHeight="false" outlineLevel="0" collapsed="false">
      <c r="A24" s="2" t="str">
        <f aca="false">categories!A5</f>
        <v>cat_isaan</v>
      </c>
      <c r="B24" s="2" t="n">
        <f aca="false">COUNTIF(menus!$D$2:$D$50,A24)</f>
        <v>6</v>
      </c>
      <c r="C24" s="2" t="n">
        <f aca="false">ROUND(AVERAGEIF(menus!$D$2:$D$50,A24,menus!$I$2:$I$50),0)</f>
        <v>273</v>
      </c>
      <c r="D24" s="2" t="n">
        <f aca="false">ROUND(AVERAGEIF(menus!$D$2:$D$50,A24,menus!$O$2:$O$50),0)</f>
        <v>1142</v>
      </c>
    </row>
    <row r="25" customFormat="false" ht="15" hidden="false" customHeight="false" outlineLevel="0" collapsed="false">
      <c r="A25" s="2" t="str">
        <f aca="false">categories!A6</f>
        <v>cat_curry</v>
      </c>
      <c r="B25" s="2" t="n">
        <f aca="false">COUNTIF(menus!$D$2:$D$50,A25)</f>
        <v>7</v>
      </c>
      <c r="C25" s="2" t="n">
        <f aca="false">ROUND(AVERAGEIF(menus!$D$2:$D$50,A25,menus!$I$2:$I$50),0)</f>
        <v>321</v>
      </c>
      <c r="D25" s="2" t="n">
        <f aca="false">ROUND(AVERAGEIF(menus!$D$2:$D$50,A25,menus!$O$2:$O$50),0)</f>
        <v>1357</v>
      </c>
    </row>
    <row r="26" customFormat="false" ht="15" hidden="false" customHeight="false" outlineLevel="0" collapsed="false">
      <c r="A26" s="2" t="str">
        <f aca="false">categories!A7</f>
        <v>cat_drink</v>
      </c>
      <c r="B26" s="2" t="n">
        <f aca="false">COUNTIF(menus!$D$2:$D$50,A26)</f>
        <v>5</v>
      </c>
      <c r="C26" s="2" t="n">
        <f aca="false">ROUND(AVERAGEIF(menus!$D$2:$D$50,A26,menus!$I$2:$I$50),0)</f>
        <v>162</v>
      </c>
      <c r="D26" s="2" t="n">
        <f aca="false">ROUND(AVERAGEIF(menus!$D$2:$D$50,A26,menus!$O$2:$O$50),0)</f>
        <v>62</v>
      </c>
    </row>
    <row r="27" customFormat="false" ht="15" hidden="false" customHeight="false" outlineLevel="0" collapsed="false">
      <c r="A27" s="2" t="str">
        <f aca="false">categories!A8</f>
        <v>cat_dessert</v>
      </c>
      <c r="B27" s="2" t="n">
        <f aca="false">COUNTIF(menus!$D$2:$D$50,A27)</f>
        <v>2</v>
      </c>
      <c r="C27" s="2" t="n">
        <f aca="false">ROUND(AVERAGEIF(menus!$D$2:$D$50,A27,menus!$I$2:$I$50),0)</f>
        <v>285</v>
      </c>
      <c r="D27" s="2" t="n">
        <f aca="false">ROUND(AVERAGEIF(menus!$D$2:$D$50,A27,menus!$O$2:$O$50),0)</f>
        <v>93</v>
      </c>
    </row>
    <row r="28" customFormat="false" ht="15" hidden="false" customHeight="false" outlineLevel="0" collapsed="false">
      <c r="A28" s="2" t="str">
        <f aca="false">categories!A9</f>
        <v>cat_side</v>
      </c>
      <c r="B28" s="2" t="n">
        <f aca="false">COUNTIF(menus!$D$2:$D$50,A28)</f>
        <v>2</v>
      </c>
      <c r="C28" s="2" t="n">
        <f aca="false">ROUND(AVERAGEIF(menus!$D$2:$D$50,A28,menus!$I$2:$I$50),0)</f>
        <v>209</v>
      </c>
      <c r="D28" s="2" t="n">
        <f aca="false">ROUND(AVERAGEIF(menus!$D$2:$D$50,A28,menus!$O$2:$O$50),0)</f>
        <v>4</v>
      </c>
    </row>
    <row r="29" customFormat="false" ht="15" hidden="false" customHeight="false" outlineLevel="0" collapsed="false">
      <c r="A29" s="2" t="s">
        <v>47</v>
      </c>
      <c r="B29" s="2" t="n">
        <f aca="false">SUM(B21:B28)</f>
        <v>49</v>
      </c>
      <c r="C29" s="2" t="n">
        <f aca="false">ROUND(AVERAGE(menus!I2:I50),0)</f>
        <v>432</v>
      </c>
      <c r="D29" s="2" t="n">
        <f aca="false">ROUND(AVERAGE(menus!O2:O50),0)</f>
        <v>1184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"/>
    <col collapsed="false" customWidth="true" hidden="false" outlineLevel="0" max="3" min="2" style="0" width="22.9"/>
    <col collapsed="false" customWidth="true" hidden="false" outlineLevel="0" max="4" min="4" style="0" width="47.1"/>
    <col collapsed="false" customWidth="true" hidden="false" outlineLevel="0" max="5" min="5" style="0" width="24"/>
    <col collapsed="false" customWidth="true" hidden="false" outlineLevel="0" max="6" min="6" style="0" width="11.9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</row>
    <row r="2" customFormat="false" ht="15" hidden="false" customHeight="false" outlineLevel="0" collapsed="false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n">
        <v>1</v>
      </c>
    </row>
    <row r="3" customFormat="false" ht="15" hidden="false" customHeight="false" outlineLevel="0" collapsed="false">
      <c r="A3" s="2" t="s">
        <v>61</v>
      </c>
      <c r="B3" s="2" t="s">
        <v>62</v>
      </c>
      <c r="C3" s="2" t="s">
        <v>63</v>
      </c>
      <c r="D3" s="2" t="s">
        <v>64</v>
      </c>
      <c r="E3" s="2" t="s">
        <v>65</v>
      </c>
      <c r="F3" s="2" t="s">
        <v>66</v>
      </c>
      <c r="G3" s="2" t="n">
        <v>2</v>
      </c>
    </row>
    <row r="4" customFormat="false" ht="15" hidden="false" customHeight="false" outlineLevel="0" collapsed="false">
      <c r="A4" s="2" t="s">
        <v>67</v>
      </c>
      <c r="B4" s="2" t="s">
        <v>68</v>
      </c>
      <c r="C4" s="2" t="s">
        <v>69</v>
      </c>
      <c r="D4" s="2" t="s">
        <v>70</v>
      </c>
      <c r="E4" s="2" t="s">
        <v>71</v>
      </c>
      <c r="F4" s="2" t="s">
        <v>72</v>
      </c>
      <c r="G4" s="2" t="n">
        <v>3</v>
      </c>
    </row>
    <row r="5" customFormat="false" ht="15" hidden="false" customHeight="false" outlineLevel="0" collapsed="false">
      <c r="A5" s="2" t="s">
        <v>73</v>
      </c>
      <c r="B5" s="2" t="s">
        <v>74</v>
      </c>
      <c r="C5" s="2" t="s">
        <v>75</v>
      </c>
      <c r="D5" s="2" t="s">
        <v>76</v>
      </c>
      <c r="E5" s="2" t="s">
        <v>77</v>
      </c>
      <c r="F5" s="2" t="s">
        <v>78</v>
      </c>
      <c r="G5" s="2" t="n">
        <v>4</v>
      </c>
    </row>
    <row r="6" customFormat="false" ht="15" hidden="false" customHeight="false" outlineLevel="0" collapsed="false">
      <c r="A6" s="2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84</v>
      </c>
      <c r="G6" s="2" t="n">
        <v>5</v>
      </c>
    </row>
    <row r="7" customFormat="false" ht="15" hidden="false" customHeight="false" outlineLevel="0" collapsed="false">
      <c r="A7" s="2" t="s">
        <v>85</v>
      </c>
      <c r="B7" s="2" t="s">
        <v>86</v>
      </c>
      <c r="C7" s="2" t="s">
        <v>87</v>
      </c>
      <c r="D7" s="2" t="s">
        <v>88</v>
      </c>
      <c r="E7" s="2" t="s">
        <v>89</v>
      </c>
      <c r="F7" s="2" t="s">
        <v>90</v>
      </c>
      <c r="G7" s="2" t="n">
        <v>6</v>
      </c>
    </row>
    <row r="8" customFormat="false" ht="15" hidden="false" customHeight="false" outlineLevel="0" collapsed="false">
      <c r="A8" s="2" t="s">
        <v>91</v>
      </c>
      <c r="B8" s="2" t="s">
        <v>92</v>
      </c>
      <c r="C8" s="2" t="s">
        <v>93</v>
      </c>
      <c r="D8" s="2" t="s">
        <v>94</v>
      </c>
      <c r="E8" s="2" t="s">
        <v>95</v>
      </c>
      <c r="F8" s="2" t="s">
        <v>96</v>
      </c>
      <c r="G8" s="2" t="n">
        <v>7</v>
      </c>
    </row>
    <row r="9" customFormat="false" ht="15" hidden="false" customHeight="false" outlineLevel="0" collapsed="false">
      <c r="A9" s="2" t="s">
        <v>97</v>
      </c>
      <c r="B9" s="2" t="s">
        <v>98</v>
      </c>
      <c r="C9" s="2" t="s">
        <v>99</v>
      </c>
      <c r="D9" s="2" t="s">
        <v>100</v>
      </c>
      <c r="E9" s="2" t="s">
        <v>101</v>
      </c>
      <c r="F9" s="2" t="s">
        <v>102</v>
      </c>
      <c r="G9" s="2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4"/>
    <col collapsed="false" customWidth="true" hidden="false" outlineLevel="0" max="2" min="2" style="0" width="24"/>
    <col collapsed="false" customWidth="true" hidden="false" outlineLevel="0" max="3" min="3" style="0" width="27.3"/>
  </cols>
  <sheetData>
    <row r="1" customFormat="false" ht="15" hidden="false" customHeight="false" outlineLevel="0" collapsed="false">
      <c r="A1" s="4" t="s">
        <v>103</v>
      </c>
      <c r="B1" s="4" t="s">
        <v>49</v>
      </c>
      <c r="C1" s="4" t="s">
        <v>50</v>
      </c>
    </row>
    <row r="2" customFormat="false" ht="15" hidden="false" customHeight="false" outlineLevel="0" collapsed="false">
      <c r="A2" s="2" t="s">
        <v>104</v>
      </c>
      <c r="B2" s="2" t="s">
        <v>105</v>
      </c>
      <c r="C2" s="2" t="s">
        <v>106</v>
      </c>
    </row>
    <row r="3" customFormat="false" ht="15" hidden="false" customHeight="false" outlineLevel="0" collapsed="false">
      <c r="A3" s="2" t="s">
        <v>107</v>
      </c>
      <c r="B3" s="2" t="s">
        <v>108</v>
      </c>
      <c r="C3" s="2" t="s">
        <v>109</v>
      </c>
    </row>
    <row r="4" customFormat="false" ht="15" hidden="false" customHeight="false" outlineLevel="0" collapsed="false">
      <c r="A4" s="2" t="s">
        <v>110</v>
      </c>
      <c r="B4" s="2" t="s">
        <v>111</v>
      </c>
      <c r="C4" s="2" t="s">
        <v>112</v>
      </c>
    </row>
    <row r="5" customFormat="false" ht="15" hidden="false" customHeight="false" outlineLevel="0" collapsed="false">
      <c r="A5" s="2" t="s">
        <v>113</v>
      </c>
      <c r="B5" s="2" t="s">
        <v>114</v>
      </c>
      <c r="C5" s="2" t="s">
        <v>115</v>
      </c>
    </row>
    <row r="6" customFormat="false" ht="15" hidden="false" customHeight="false" outlineLevel="0" collapsed="false">
      <c r="A6" s="2" t="s">
        <v>116</v>
      </c>
      <c r="B6" s="2" t="s">
        <v>117</v>
      </c>
      <c r="C6" s="2" t="s">
        <v>118</v>
      </c>
    </row>
    <row r="7" customFormat="false" ht="15" hidden="false" customHeight="false" outlineLevel="0" collapsed="false">
      <c r="A7" s="2" t="s">
        <v>119</v>
      </c>
      <c r="B7" s="2" t="s">
        <v>120</v>
      </c>
      <c r="C7" s="2" t="s">
        <v>121</v>
      </c>
    </row>
    <row r="8" customFormat="false" ht="15" hidden="false" customHeight="false" outlineLevel="0" collapsed="false">
      <c r="A8" s="2" t="s">
        <v>122</v>
      </c>
      <c r="B8" s="2" t="s">
        <v>123</v>
      </c>
      <c r="C8" s="2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3"/>
    <col collapsed="false" customWidth="true" hidden="false" outlineLevel="0" max="2" min="2" style="0" width="41.61"/>
    <col collapsed="false" customWidth="true" hidden="false" outlineLevel="0" max="3" min="3" style="0" width="13"/>
    <col collapsed="false" customWidth="true" hidden="false" outlineLevel="0" max="4" min="4" style="0" width="48.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4" t="s">
        <v>125</v>
      </c>
      <c r="B1" s="4" t="s">
        <v>49</v>
      </c>
      <c r="C1" s="4" t="s">
        <v>126</v>
      </c>
      <c r="D1" s="4" t="s">
        <v>127</v>
      </c>
      <c r="E1" s="4" t="s">
        <v>54</v>
      </c>
    </row>
    <row r="2" customFormat="false" ht="15" hidden="false" customHeight="false" outlineLevel="0" collapsed="false">
      <c r="A2" s="2" t="s">
        <v>128</v>
      </c>
      <c r="B2" s="2" t="s">
        <v>129</v>
      </c>
      <c r="C2" s="2" t="n">
        <v>1.2</v>
      </c>
      <c r="D2" s="2" t="s">
        <v>130</v>
      </c>
      <c r="E2" s="2" t="n">
        <v>1</v>
      </c>
    </row>
    <row r="3" customFormat="false" ht="15" hidden="false" customHeight="false" outlineLevel="0" collapsed="false">
      <c r="A3" s="2" t="s">
        <v>131</v>
      </c>
      <c r="B3" s="2" t="s">
        <v>132</v>
      </c>
      <c r="C3" s="2" t="n">
        <v>1.375</v>
      </c>
      <c r="D3" s="2" t="s">
        <v>133</v>
      </c>
      <c r="E3" s="2" t="n">
        <v>2</v>
      </c>
    </row>
    <row r="4" customFormat="false" ht="15" hidden="false" customHeight="false" outlineLevel="0" collapsed="false">
      <c r="A4" s="2" t="s">
        <v>134</v>
      </c>
      <c r="B4" s="2" t="s">
        <v>135</v>
      </c>
      <c r="C4" s="2" t="n">
        <v>1.55</v>
      </c>
      <c r="D4" s="2" t="s">
        <v>136</v>
      </c>
      <c r="E4" s="2" t="n">
        <v>3</v>
      </c>
    </row>
    <row r="5" customFormat="false" ht="15" hidden="false" customHeight="false" outlineLevel="0" collapsed="false">
      <c r="A5" s="2" t="s">
        <v>137</v>
      </c>
      <c r="B5" s="2" t="s">
        <v>138</v>
      </c>
      <c r="C5" s="2" t="n">
        <v>1.725</v>
      </c>
      <c r="D5" s="2" t="s">
        <v>139</v>
      </c>
      <c r="E5" s="2" t="n">
        <v>4</v>
      </c>
    </row>
    <row r="6" customFormat="false" ht="15" hidden="false" customHeight="false" outlineLevel="0" collapsed="false">
      <c r="A6" s="2" t="s">
        <v>140</v>
      </c>
      <c r="B6" s="2" t="s">
        <v>141</v>
      </c>
      <c r="C6" s="2" t="n">
        <v>1.9</v>
      </c>
      <c r="D6" s="2" t="s">
        <v>142</v>
      </c>
      <c r="E6" s="2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3"/>
    <col collapsed="false" customWidth="true" hidden="false" outlineLevel="0" max="2" min="2" style="0" width="15.2"/>
    <col collapsed="false" customWidth="true" hidden="false" outlineLevel="0" max="3" min="3" style="0" width="14.1"/>
    <col collapsed="false" customWidth="true" hidden="false" outlineLevel="0" max="4" min="4" style="0" width="47.1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4" t="s">
        <v>143</v>
      </c>
      <c r="B1" s="4" t="s">
        <v>49</v>
      </c>
      <c r="C1" s="4" t="s">
        <v>144</v>
      </c>
      <c r="D1" s="4" t="s">
        <v>51</v>
      </c>
      <c r="E1" s="4" t="s">
        <v>54</v>
      </c>
    </row>
    <row r="2" customFormat="false" ht="15" hidden="false" customHeight="false" outlineLevel="0" collapsed="false">
      <c r="A2" s="2" t="s">
        <v>145</v>
      </c>
      <c r="B2" s="2" t="s">
        <v>146</v>
      </c>
      <c r="C2" s="2" t="n">
        <v>-500</v>
      </c>
      <c r="D2" s="2" t="s">
        <v>147</v>
      </c>
      <c r="E2" s="2" t="n">
        <v>1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n">
        <v>0</v>
      </c>
      <c r="D3" s="2" t="s">
        <v>150</v>
      </c>
      <c r="E3" s="2" t="n">
        <v>2</v>
      </c>
    </row>
    <row r="4" customFormat="false" ht="15" hidden="false" customHeight="false" outlineLevel="0" collapsed="false">
      <c r="A4" s="2" t="s">
        <v>151</v>
      </c>
      <c r="B4" s="2" t="s">
        <v>152</v>
      </c>
      <c r="C4" s="2" t="n">
        <v>300</v>
      </c>
      <c r="D4" s="2" t="s">
        <v>153</v>
      </c>
      <c r="E4" s="2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.2"/>
    <col collapsed="false" customWidth="true" hidden="false" outlineLevel="0" max="3" min="3" style="0" width="16.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4.1"/>
    <col collapsed="false" customWidth="true" hidden="false" outlineLevel="0" max="7" min="7" style="0" width="11.9"/>
    <col collapsed="false" customWidth="true" hidden="false" outlineLevel="0" max="9" min="8" style="0" width="13"/>
  </cols>
  <sheetData>
    <row r="1" customFormat="false" ht="15" hidden="false" customHeight="false" outlineLevel="0" collapsed="false">
      <c r="A1" s="4" t="s">
        <v>154</v>
      </c>
      <c r="B1" s="4" t="s">
        <v>49</v>
      </c>
      <c r="C1" s="4" t="s">
        <v>50</v>
      </c>
      <c r="D1" s="4" t="s">
        <v>155</v>
      </c>
      <c r="E1" s="4" t="s">
        <v>156</v>
      </c>
      <c r="F1" s="4" t="s">
        <v>157</v>
      </c>
      <c r="G1" s="4" t="s">
        <v>158</v>
      </c>
      <c r="H1" s="4" t="s">
        <v>159</v>
      </c>
      <c r="I1" s="4" t="s">
        <v>54</v>
      </c>
    </row>
    <row r="2" customFormat="false" ht="15" hidden="false" customHeight="false" outlineLevel="0" collapsed="false">
      <c r="A2" s="2" t="s">
        <v>160</v>
      </c>
      <c r="B2" s="2" t="s">
        <v>161</v>
      </c>
      <c r="C2" s="2" t="s">
        <v>162</v>
      </c>
      <c r="D2" s="2" t="s">
        <v>163</v>
      </c>
      <c r="E2" s="2" t="s">
        <v>164</v>
      </c>
      <c r="F2" s="2" t="n">
        <v>0</v>
      </c>
      <c r="G2" s="2" t="s">
        <v>165</v>
      </c>
      <c r="H2" s="2" t="s">
        <v>166</v>
      </c>
      <c r="I2" s="2" t="n">
        <v>1</v>
      </c>
    </row>
    <row r="3" customFormat="false" ht="15" hidden="false" customHeight="false" outlineLevel="0" collapsed="false">
      <c r="A3" s="2" t="s">
        <v>167</v>
      </c>
      <c r="B3" s="2" t="s">
        <v>168</v>
      </c>
      <c r="C3" s="2" t="s">
        <v>169</v>
      </c>
      <c r="D3" s="2" t="s">
        <v>170</v>
      </c>
      <c r="E3" s="2" t="s">
        <v>171</v>
      </c>
      <c r="F3" s="2" t="n">
        <v>1</v>
      </c>
      <c r="G3" s="2" t="s">
        <v>172</v>
      </c>
      <c r="H3" s="2" t="s">
        <v>173</v>
      </c>
      <c r="I3" s="2" t="n">
        <v>2</v>
      </c>
    </row>
    <row r="4" customFormat="false" ht="15" hidden="false" customHeight="false" outlineLevel="0" collapsed="false">
      <c r="A4" s="2" t="s">
        <v>174</v>
      </c>
      <c r="B4" s="2" t="s">
        <v>175</v>
      </c>
      <c r="C4" s="2" t="s">
        <v>176</v>
      </c>
      <c r="D4" s="2" t="s">
        <v>170</v>
      </c>
      <c r="E4" s="2" t="s">
        <v>177</v>
      </c>
      <c r="F4" s="2" t="n">
        <v>0</v>
      </c>
      <c r="G4" s="2" t="s">
        <v>172</v>
      </c>
      <c r="H4" s="2" t="s">
        <v>178</v>
      </c>
      <c r="I4" s="2" t="n">
        <v>3</v>
      </c>
    </row>
    <row r="5" customFormat="false" ht="15" hidden="false" customHeight="false" outlineLevel="0" collapsed="false">
      <c r="A5" s="2" t="s">
        <v>179</v>
      </c>
      <c r="B5" s="2" t="s">
        <v>180</v>
      </c>
      <c r="C5" s="2" t="s">
        <v>181</v>
      </c>
      <c r="D5" s="2" t="s">
        <v>170</v>
      </c>
      <c r="E5" s="2" t="s">
        <v>177</v>
      </c>
      <c r="F5" s="2" t="n">
        <v>0</v>
      </c>
      <c r="G5" s="2" t="s">
        <v>172</v>
      </c>
      <c r="H5" s="2" t="s">
        <v>182</v>
      </c>
      <c r="I5" s="2" t="n">
        <v>4</v>
      </c>
    </row>
    <row r="6" customFormat="false" ht="15" hidden="false" customHeight="false" outlineLevel="0" collapsed="false">
      <c r="A6" s="2" t="s">
        <v>183</v>
      </c>
      <c r="B6" s="2" t="s">
        <v>184</v>
      </c>
      <c r="C6" s="2" t="s">
        <v>185</v>
      </c>
      <c r="D6" s="2" t="s">
        <v>170</v>
      </c>
      <c r="E6" s="2" t="s">
        <v>186</v>
      </c>
      <c r="F6" s="2" t="n">
        <v>50</v>
      </c>
      <c r="G6" s="2" t="s">
        <v>187</v>
      </c>
      <c r="H6" s="2" t="s">
        <v>188</v>
      </c>
      <c r="I6" s="2" t="n">
        <v>5</v>
      </c>
    </row>
    <row r="7" customFormat="false" ht="15" hidden="false" customHeight="false" outlineLevel="0" collapsed="false">
      <c r="A7" s="2" t="s">
        <v>189</v>
      </c>
      <c r="B7" s="2" t="s">
        <v>190</v>
      </c>
      <c r="C7" s="2" t="s">
        <v>191</v>
      </c>
      <c r="D7" s="2" t="s">
        <v>170</v>
      </c>
      <c r="E7" s="2" t="s">
        <v>192</v>
      </c>
      <c r="F7" s="2" t="n">
        <v>25</v>
      </c>
      <c r="G7" s="2" t="s">
        <v>172</v>
      </c>
      <c r="H7" s="2" t="s">
        <v>193</v>
      </c>
      <c r="I7" s="2" t="n">
        <v>6</v>
      </c>
    </row>
    <row r="8" customFormat="false" ht="15" hidden="false" customHeight="false" outlineLevel="0" collapsed="false">
      <c r="A8" s="2" t="s">
        <v>194</v>
      </c>
      <c r="B8" s="2" t="s">
        <v>195</v>
      </c>
      <c r="C8" s="2" t="s">
        <v>196</v>
      </c>
      <c r="D8" s="2" t="s">
        <v>197</v>
      </c>
      <c r="E8" s="2" t="s">
        <v>186</v>
      </c>
      <c r="F8" s="2" t="n">
        <v>2000</v>
      </c>
      <c r="G8" s="2" t="s">
        <v>198</v>
      </c>
      <c r="H8" s="2" t="s">
        <v>199</v>
      </c>
      <c r="I8" s="2" t="n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8"/>
    <col collapsed="false" customWidth="true" hidden="false" outlineLevel="0" max="2" min="2" style="0" width="30.6"/>
    <col collapsed="false" customWidth="true" hidden="false" outlineLevel="0" max="3" min="3" style="0" width="51.5"/>
    <col collapsed="false" customWidth="true" hidden="false" outlineLevel="0" max="4" min="4" style="0" width="14.1"/>
    <col collapsed="false" customWidth="true" hidden="false" outlineLevel="0" max="5" min="5" style="0" width="17.4"/>
    <col collapsed="false" customWidth="true" hidden="false" outlineLevel="0" max="6" min="6" style="0" width="15.2"/>
    <col collapsed="false" customWidth="true" hidden="false" outlineLevel="0" max="8" min="7" style="0" width="11.9"/>
    <col collapsed="false" customWidth="true" hidden="false" outlineLevel="0" max="9" min="9" style="0" width="14.1"/>
    <col collapsed="false" customWidth="true" hidden="false" outlineLevel="0" max="10" min="10" style="0" width="11.9"/>
    <col collapsed="false" customWidth="true" hidden="false" outlineLevel="0" max="14" min="11" style="0" width="10"/>
    <col collapsed="false" customWidth="true" hidden="false" outlineLevel="0" max="15" min="15" style="0" width="11.9"/>
    <col collapsed="false" customWidth="true" hidden="false" outlineLevel="0" max="16" min="16" style="0" width="16.3"/>
    <col collapsed="false" customWidth="true" hidden="false" outlineLevel="0" max="17" min="17" style="0" width="14.1"/>
    <col collapsed="false" customWidth="true" hidden="false" outlineLevel="0" max="18" min="18" style="0" width="36.1"/>
    <col collapsed="false" customWidth="true" hidden="false" outlineLevel="0" max="19" min="19" style="0" width="37.2"/>
    <col collapsed="false" customWidth="true" hidden="false" outlineLevel="0" max="20" min="20" style="0" width="38.3"/>
    <col collapsed="false" customWidth="true" hidden="false" outlineLevel="0" max="21" min="21" style="0" width="11.9"/>
    <col collapsed="false" customWidth="true" hidden="false" outlineLevel="0" max="22" min="22" style="0" width="22.9"/>
    <col collapsed="false" customWidth="true" hidden="false" outlineLevel="0" max="23" min="23" style="0" width="13"/>
  </cols>
  <sheetData>
    <row r="1" customFormat="false" ht="15" hidden="false" customHeight="false" outlineLevel="0" collapsed="false">
      <c r="A1" s="4" t="s">
        <v>200</v>
      </c>
      <c r="B1" s="4" t="s">
        <v>49</v>
      </c>
      <c r="C1" s="4" t="s">
        <v>50</v>
      </c>
      <c r="D1" s="4" t="s">
        <v>48</v>
      </c>
      <c r="E1" s="4" t="s">
        <v>103</v>
      </c>
      <c r="F1" s="4" t="s">
        <v>201</v>
      </c>
      <c r="G1" s="4" t="s">
        <v>202</v>
      </c>
      <c r="H1" s="4" t="s">
        <v>203</v>
      </c>
      <c r="I1" s="4" t="s">
        <v>160</v>
      </c>
      <c r="J1" s="4" t="s">
        <v>167</v>
      </c>
      <c r="K1" s="4" t="s">
        <v>174</v>
      </c>
      <c r="L1" s="4" t="s">
        <v>179</v>
      </c>
      <c r="M1" s="4" t="s">
        <v>183</v>
      </c>
      <c r="N1" s="4" t="s">
        <v>189</v>
      </c>
      <c r="O1" s="4" t="s">
        <v>194</v>
      </c>
      <c r="P1" s="4" t="s">
        <v>204</v>
      </c>
      <c r="Q1" s="4" t="s">
        <v>205</v>
      </c>
      <c r="R1" s="4" t="s">
        <v>206</v>
      </c>
      <c r="S1" s="4" t="s">
        <v>207</v>
      </c>
      <c r="T1" s="4" t="s">
        <v>208</v>
      </c>
      <c r="U1" s="4" t="s">
        <v>158</v>
      </c>
      <c r="V1" s="4" t="s">
        <v>209</v>
      </c>
      <c r="W1" s="4" t="s">
        <v>210</v>
      </c>
    </row>
    <row r="2" customFormat="false" ht="15" hidden="false" customHeight="false" outlineLevel="0" collapsed="false">
      <c r="A2" s="2" t="s">
        <v>211</v>
      </c>
      <c r="B2" s="2" t="s">
        <v>212</v>
      </c>
      <c r="C2" s="2" t="s">
        <v>213</v>
      </c>
      <c r="D2" s="2" t="s">
        <v>55</v>
      </c>
      <c r="E2" s="2" t="s">
        <v>107</v>
      </c>
      <c r="F2" s="2" t="s">
        <v>214</v>
      </c>
      <c r="G2" s="2" t="n">
        <v>350</v>
      </c>
      <c r="H2" s="2" t="n">
        <v>50</v>
      </c>
      <c r="I2" s="2" t="n">
        <v>596</v>
      </c>
      <c r="J2" s="2" t="n">
        <v>28</v>
      </c>
      <c r="K2" s="2" t="n">
        <v>22</v>
      </c>
      <c r="L2" s="2" t="n">
        <v>70</v>
      </c>
      <c r="M2" s="2" t="n">
        <v>3</v>
      </c>
      <c r="N2" s="2" t="n">
        <v>2</v>
      </c>
      <c r="O2" s="2" t="n">
        <v>1100</v>
      </c>
      <c r="P2" s="5" t="b">
        <f aca="false">FALSE()</f>
        <v>0</v>
      </c>
      <c r="Q2" s="2" t="n">
        <v>0</v>
      </c>
      <c r="R2" s="2" t="s">
        <v>215</v>
      </c>
      <c r="S2" s="2" t="s">
        <v>216</v>
      </c>
      <c r="T2" s="2" t="s">
        <v>217</v>
      </c>
      <c r="U2" s="2" t="s">
        <v>218</v>
      </c>
      <c r="V2" s="2" t="s">
        <v>219</v>
      </c>
      <c r="W2" s="2" t="s">
        <v>220</v>
      </c>
    </row>
    <row r="3" customFormat="false" ht="15" hidden="false" customHeight="false" outlineLevel="0" collapsed="false">
      <c r="A3" s="2" t="s">
        <v>221</v>
      </c>
      <c r="B3" s="2" t="s">
        <v>222</v>
      </c>
      <c r="C3" s="2" t="s">
        <v>223</v>
      </c>
      <c r="D3" s="2" t="s">
        <v>55</v>
      </c>
      <c r="E3" s="2" t="s">
        <v>107</v>
      </c>
      <c r="F3" s="2" t="s">
        <v>214</v>
      </c>
      <c r="G3" s="2" t="n">
        <v>330</v>
      </c>
      <c r="H3" s="2" t="n">
        <v>50</v>
      </c>
      <c r="I3" s="2" t="n">
        <v>560</v>
      </c>
      <c r="J3" s="2" t="n">
        <v>25</v>
      </c>
      <c r="K3" s="2" t="n">
        <v>16</v>
      </c>
      <c r="L3" s="2" t="n">
        <v>78</v>
      </c>
      <c r="M3" s="2" t="n">
        <v>12</v>
      </c>
      <c r="N3" s="2" t="n">
        <v>2</v>
      </c>
      <c r="O3" s="2" t="n">
        <v>1200</v>
      </c>
      <c r="P3" s="5" t="b">
        <f aca="false">FALSE()</f>
        <v>0</v>
      </c>
      <c r="Q3" s="2" t="n">
        <v>0</v>
      </c>
      <c r="R3" s="2" t="s">
        <v>224</v>
      </c>
      <c r="S3" s="2" t="s">
        <v>225</v>
      </c>
      <c r="T3" s="2" t="s">
        <v>226</v>
      </c>
      <c r="U3" s="2" t="s">
        <v>218</v>
      </c>
      <c r="V3" s="2" t="s">
        <v>219</v>
      </c>
      <c r="W3" s="2" t="s">
        <v>220</v>
      </c>
    </row>
    <row r="4" customFormat="false" ht="15" hidden="false" customHeight="false" outlineLevel="0" collapsed="false">
      <c r="A4" s="2" t="s">
        <v>227</v>
      </c>
      <c r="B4" s="2" t="s">
        <v>228</v>
      </c>
      <c r="C4" s="2" t="s">
        <v>229</v>
      </c>
      <c r="D4" s="2" t="s">
        <v>55</v>
      </c>
      <c r="E4" s="2" t="s">
        <v>107</v>
      </c>
      <c r="F4" s="2" t="s">
        <v>214</v>
      </c>
      <c r="G4" s="2" t="n">
        <v>380</v>
      </c>
      <c r="H4" s="2" t="n">
        <v>55</v>
      </c>
      <c r="I4" s="2" t="n">
        <v>680</v>
      </c>
      <c r="J4" s="2" t="n">
        <v>30</v>
      </c>
      <c r="K4" s="2" t="n">
        <v>28</v>
      </c>
      <c r="L4" s="2" t="n">
        <v>75</v>
      </c>
      <c r="M4" s="2" t="n">
        <v>8</v>
      </c>
      <c r="N4" s="2" t="n">
        <v>3</v>
      </c>
      <c r="O4" s="2" t="n">
        <v>1500</v>
      </c>
      <c r="P4" s="5" t="b">
        <f aca="false">FALSE()</f>
        <v>0</v>
      </c>
      <c r="Q4" s="2" t="n">
        <v>0</v>
      </c>
      <c r="R4" s="2" t="s">
        <v>230</v>
      </c>
      <c r="S4" s="2" t="s">
        <v>231</v>
      </c>
      <c r="T4" s="2" t="s">
        <v>232</v>
      </c>
      <c r="U4" s="2" t="s">
        <v>218</v>
      </c>
      <c r="V4" s="2" t="s">
        <v>219</v>
      </c>
      <c r="W4" s="2" t="s">
        <v>220</v>
      </c>
    </row>
    <row r="5" customFormat="false" ht="15" hidden="false" customHeight="false" outlineLevel="0" collapsed="false">
      <c r="A5" s="2" t="s">
        <v>233</v>
      </c>
      <c r="B5" s="2" t="s">
        <v>234</v>
      </c>
      <c r="C5" s="2" t="s">
        <v>235</v>
      </c>
      <c r="D5" s="2" t="s">
        <v>55</v>
      </c>
      <c r="E5" s="2" t="s">
        <v>107</v>
      </c>
      <c r="F5" s="2" t="s">
        <v>214</v>
      </c>
      <c r="G5" s="2" t="n">
        <v>350</v>
      </c>
      <c r="H5" s="2" t="n">
        <v>60</v>
      </c>
      <c r="I5" s="2" t="n">
        <v>620</v>
      </c>
      <c r="J5" s="2" t="n">
        <v>32</v>
      </c>
      <c r="K5" s="2" t="n">
        <v>20</v>
      </c>
      <c r="L5" s="2" t="n">
        <v>75</v>
      </c>
      <c r="M5" s="2" t="n">
        <v>6</v>
      </c>
      <c r="N5" s="2" t="n">
        <v>2</v>
      </c>
      <c r="O5" s="2" t="n">
        <v>1300</v>
      </c>
      <c r="P5" s="5" t="b">
        <f aca="false">FALSE()</f>
        <v>0</v>
      </c>
      <c r="Q5" s="2" t="n">
        <v>0</v>
      </c>
      <c r="R5" s="2" t="s">
        <v>236</v>
      </c>
      <c r="S5" s="2" t="s">
        <v>237</v>
      </c>
      <c r="T5" s="2" t="s">
        <v>238</v>
      </c>
      <c r="U5" s="2" t="s">
        <v>218</v>
      </c>
      <c r="V5" s="2" t="s">
        <v>219</v>
      </c>
      <c r="W5" s="2" t="s">
        <v>220</v>
      </c>
    </row>
    <row r="6" customFormat="false" ht="15" hidden="false" customHeight="false" outlineLevel="0" collapsed="false">
      <c r="A6" s="2" t="s">
        <v>239</v>
      </c>
      <c r="B6" s="2" t="s">
        <v>240</v>
      </c>
      <c r="C6" s="2" t="s">
        <v>241</v>
      </c>
      <c r="D6" s="2" t="s">
        <v>55</v>
      </c>
      <c r="E6" s="2" t="s">
        <v>104</v>
      </c>
      <c r="F6" s="2" t="s">
        <v>214</v>
      </c>
      <c r="G6" s="2" t="n">
        <v>320</v>
      </c>
      <c r="H6" s="2" t="n">
        <v>50</v>
      </c>
      <c r="I6" s="2" t="n">
        <v>610</v>
      </c>
      <c r="J6" s="2" t="n">
        <v>20</v>
      </c>
      <c r="K6" s="2" t="n">
        <v>22</v>
      </c>
      <c r="L6" s="2" t="n">
        <v>82</v>
      </c>
      <c r="M6" s="2" t="n">
        <v>14</v>
      </c>
      <c r="N6" s="2" t="n">
        <v>3</v>
      </c>
      <c r="O6" s="2" t="n">
        <v>1600</v>
      </c>
      <c r="P6" s="5" t="b">
        <f aca="false">FALSE()</f>
        <v>0</v>
      </c>
      <c r="Q6" s="2" t="n">
        <v>1</v>
      </c>
      <c r="R6" s="2" t="s">
        <v>242</v>
      </c>
      <c r="S6" s="2" t="s">
        <v>243</v>
      </c>
      <c r="T6" s="2" t="s">
        <v>244</v>
      </c>
      <c r="U6" s="2" t="s">
        <v>218</v>
      </c>
      <c r="V6" s="2" t="s">
        <v>219</v>
      </c>
      <c r="W6" s="2" t="s">
        <v>220</v>
      </c>
    </row>
    <row r="7" customFormat="false" ht="15" hidden="false" customHeight="false" outlineLevel="0" collapsed="false">
      <c r="A7" s="2" t="s">
        <v>245</v>
      </c>
      <c r="B7" s="2" t="s">
        <v>246</v>
      </c>
      <c r="C7" s="2" t="s">
        <v>247</v>
      </c>
      <c r="D7" s="2" t="s">
        <v>55</v>
      </c>
      <c r="E7" s="2" t="s">
        <v>107</v>
      </c>
      <c r="F7" s="2" t="s">
        <v>214</v>
      </c>
      <c r="G7" s="2" t="n">
        <v>330</v>
      </c>
      <c r="H7" s="2" t="n">
        <v>55</v>
      </c>
      <c r="I7" s="2" t="n">
        <v>700</v>
      </c>
      <c r="J7" s="2" t="n">
        <v>24</v>
      </c>
      <c r="K7" s="2" t="n">
        <v>34</v>
      </c>
      <c r="L7" s="2" t="n">
        <v>72</v>
      </c>
      <c r="M7" s="2" t="n">
        <v>4</v>
      </c>
      <c r="N7" s="2" t="n">
        <v>2</v>
      </c>
      <c r="O7" s="2" t="n">
        <v>1250</v>
      </c>
      <c r="P7" s="5" t="b">
        <f aca="false">FALSE()</f>
        <v>0</v>
      </c>
      <c r="Q7" s="2" t="n">
        <v>0</v>
      </c>
      <c r="R7" s="2" t="s">
        <v>230</v>
      </c>
      <c r="S7" s="2" t="s">
        <v>248</v>
      </c>
      <c r="T7" s="2" t="s">
        <v>249</v>
      </c>
      <c r="U7" s="2" t="s">
        <v>218</v>
      </c>
      <c r="V7" s="2" t="s">
        <v>219</v>
      </c>
      <c r="W7" s="2" t="s">
        <v>220</v>
      </c>
    </row>
    <row r="8" customFormat="false" ht="15" hidden="false" customHeight="false" outlineLevel="0" collapsed="false">
      <c r="A8" s="2" t="s">
        <v>250</v>
      </c>
      <c r="B8" s="2" t="s">
        <v>251</v>
      </c>
      <c r="C8" s="2" t="s">
        <v>252</v>
      </c>
      <c r="D8" s="2" t="s">
        <v>61</v>
      </c>
      <c r="E8" s="2" t="s">
        <v>104</v>
      </c>
      <c r="F8" s="2" t="s">
        <v>214</v>
      </c>
      <c r="G8" s="2" t="n">
        <v>380</v>
      </c>
      <c r="H8" s="2" t="n">
        <v>55</v>
      </c>
      <c r="I8" s="2" t="n">
        <v>680</v>
      </c>
      <c r="J8" s="2" t="n">
        <v>30</v>
      </c>
      <c r="K8" s="2" t="n">
        <v>32</v>
      </c>
      <c r="L8" s="2" t="n">
        <v>68</v>
      </c>
      <c r="M8" s="2" t="n">
        <v>5</v>
      </c>
      <c r="N8" s="2" t="n">
        <v>3</v>
      </c>
      <c r="O8" s="2" t="n">
        <v>1700</v>
      </c>
      <c r="P8" s="5" t="b">
        <f aca="false">FALSE()</f>
        <v>0</v>
      </c>
      <c r="Q8" s="2" t="n">
        <v>2</v>
      </c>
      <c r="R8" s="2" t="s">
        <v>253</v>
      </c>
      <c r="S8" s="2" t="s">
        <v>254</v>
      </c>
      <c r="T8" s="2" t="s">
        <v>255</v>
      </c>
      <c r="U8" s="2" t="s">
        <v>218</v>
      </c>
      <c r="V8" s="2" t="s">
        <v>219</v>
      </c>
      <c r="W8" s="2" t="s">
        <v>220</v>
      </c>
    </row>
    <row r="9" customFormat="false" ht="15" hidden="false" customHeight="false" outlineLevel="0" collapsed="false">
      <c r="A9" s="2" t="s">
        <v>256</v>
      </c>
      <c r="B9" s="2" t="s">
        <v>257</v>
      </c>
      <c r="C9" s="2" t="s">
        <v>258</v>
      </c>
      <c r="D9" s="2" t="s">
        <v>61</v>
      </c>
      <c r="E9" s="2" t="s">
        <v>104</v>
      </c>
      <c r="F9" s="2" t="s">
        <v>214</v>
      </c>
      <c r="G9" s="2" t="n">
        <v>350</v>
      </c>
      <c r="H9" s="2" t="n">
        <v>50</v>
      </c>
      <c r="I9" s="2" t="n">
        <v>580</v>
      </c>
      <c r="J9" s="2" t="n">
        <v>28</v>
      </c>
      <c r="K9" s="2" t="n">
        <v>20</v>
      </c>
      <c r="L9" s="2" t="n">
        <v>68</v>
      </c>
      <c r="M9" s="2" t="n">
        <v>5</v>
      </c>
      <c r="N9" s="2" t="n">
        <v>3</v>
      </c>
      <c r="O9" s="2" t="n">
        <v>1500</v>
      </c>
      <c r="P9" s="5" t="b">
        <f aca="false">FALSE()</f>
        <v>0</v>
      </c>
      <c r="Q9" s="2" t="n">
        <v>2</v>
      </c>
      <c r="R9" s="2" t="s">
        <v>259</v>
      </c>
      <c r="S9" s="2" t="s">
        <v>260</v>
      </c>
      <c r="T9" s="2" t="s">
        <v>261</v>
      </c>
      <c r="U9" s="2" t="s">
        <v>218</v>
      </c>
      <c r="V9" s="2" t="s">
        <v>219</v>
      </c>
      <c r="W9" s="2" t="s">
        <v>220</v>
      </c>
    </row>
    <row r="10" customFormat="false" ht="15" hidden="false" customHeight="false" outlineLevel="0" collapsed="false">
      <c r="A10" s="2" t="s">
        <v>262</v>
      </c>
      <c r="B10" s="2" t="s">
        <v>263</v>
      </c>
      <c r="C10" s="2" t="s">
        <v>264</v>
      </c>
      <c r="D10" s="2" t="s">
        <v>61</v>
      </c>
      <c r="E10" s="2" t="s">
        <v>104</v>
      </c>
      <c r="F10" s="2" t="s">
        <v>214</v>
      </c>
      <c r="G10" s="2" t="n">
        <v>350</v>
      </c>
      <c r="H10" s="2" t="n">
        <v>50</v>
      </c>
      <c r="I10" s="2" t="n">
        <v>560</v>
      </c>
      <c r="J10" s="2" t="n">
        <v>22</v>
      </c>
      <c r="K10" s="2" t="n">
        <v>18</v>
      </c>
      <c r="L10" s="2" t="n">
        <v>75</v>
      </c>
      <c r="M10" s="2" t="n">
        <v>4</v>
      </c>
      <c r="N10" s="2" t="n">
        <v>2</v>
      </c>
      <c r="O10" s="2" t="n">
        <v>1200</v>
      </c>
      <c r="P10" s="5" t="b">
        <f aca="false">FALSE()</f>
        <v>0</v>
      </c>
      <c r="Q10" s="2" t="n">
        <v>0</v>
      </c>
      <c r="R10" s="2" t="s">
        <v>265</v>
      </c>
      <c r="S10" s="2" t="s">
        <v>266</v>
      </c>
      <c r="T10" s="2" t="s">
        <v>267</v>
      </c>
      <c r="U10" s="2" t="s">
        <v>218</v>
      </c>
      <c r="V10" s="2" t="s">
        <v>219</v>
      </c>
      <c r="W10" s="2" t="s">
        <v>220</v>
      </c>
    </row>
    <row r="11" customFormat="false" ht="15" hidden="false" customHeight="false" outlineLevel="0" collapsed="false">
      <c r="A11" s="2" t="s">
        <v>268</v>
      </c>
      <c r="B11" s="2" t="s">
        <v>269</v>
      </c>
      <c r="C11" s="2" t="s">
        <v>270</v>
      </c>
      <c r="D11" s="2" t="s">
        <v>61</v>
      </c>
      <c r="E11" s="2" t="s">
        <v>104</v>
      </c>
      <c r="F11" s="2" t="s">
        <v>214</v>
      </c>
      <c r="G11" s="2" t="n">
        <v>400</v>
      </c>
      <c r="H11" s="2" t="n">
        <v>70</v>
      </c>
      <c r="I11" s="2" t="n">
        <v>850</v>
      </c>
      <c r="J11" s="2" t="n">
        <v>28</v>
      </c>
      <c r="K11" s="2" t="n">
        <v>38</v>
      </c>
      <c r="L11" s="2" t="n">
        <v>95</v>
      </c>
      <c r="M11" s="2" t="n">
        <v>12</v>
      </c>
      <c r="N11" s="2" t="n">
        <v>3</v>
      </c>
      <c r="O11" s="2" t="n">
        <v>1900</v>
      </c>
      <c r="P11" s="5" t="b">
        <f aca="false">FALSE()</f>
        <v>0</v>
      </c>
      <c r="Q11" s="2" t="n">
        <v>0</v>
      </c>
      <c r="R11" s="2" t="s">
        <v>271</v>
      </c>
      <c r="S11" s="2" t="s">
        <v>272</v>
      </c>
      <c r="T11" s="2" t="s">
        <v>273</v>
      </c>
      <c r="U11" s="2" t="s">
        <v>218</v>
      </c>
      <c r="V11" s="2" t="s">
        <v>219</v>
      </c>
      <c r="W11" s="2" t="s">
        <v>220</v>
      </c>
    </row>
    <row r="12" customFormat="false" ht="15" hidden="false" customHeight="false" outlineLevel="0" collapsed="false">
      <c r="A12" s="2" t="s">
        <v>274</v>
      </c>
      <c r="B12" s="2" t="s">
        <v>275</v>
      </c>
      <c r="C12" s="2" t="s">
        <v>276</v>
      </c>
      <c r="D12" s="2" t="s">
        <v>61</v>
      </c>
      <c r="E12" s="2" t="s">
        <v>104</v>
      </c>
      <c r="F12" s="2" t="s">
        <v>214</v>
      </c>
      <c r="G12" s="2" t="n">
        <v>350</v>
      </c>
      <c r="H12" s="2" t="n">
        <v>55</v>
      </c>
      <c r="I12" s="2" t="n">
        <v>620</v>
      </c>
      <c r="J12" s="2" t="n">
        <v>24</v>
      </c>
      <c r="K12" s="2" t="n">
        <v>26</v>
      </c>
      <c r="L12" s="2" t="n">
        <v>70</v>
      </c>
      <c r="M12" s="2" t="n">
        <v>6</v>
      </c>
      <c r="N12" s="2" t="n">
        <v>4</v>
      </c>
      <c r="O12" s="2" t="n">
        <v>1500</v>
      </c>
      <c r="P12" s="5" t="b">
        <f aca="false">FALSE()</f>
        <v>0</v>
      </c>
      <c r="Q12" s="2" t="n">
        <v>2</v>
      </c>
      <c r="R12" s="2" t="s">
        <v>277</v>
      </c>
      <c r="S12" s="2" t="s">
        <v>278</v>
      </c>
      <c r="T12" s="2" t="s">
        <v>279</v>
      </c>
      <c r="U12" s="2" t="s">
        <v>218</v>
      </c>
      <c r="V12" s="2" t="s">
        <v>219</v>
      </c>
      <c r="W12" s="2" t="s">
        <v>220</v>
      </c>
    </row>
    <row r="13" customFormat="false" ht="15" hidden="false" customHeight="false" outlineLevel="0" collapsed="false">
      <c r="A13" s="2" t="s">
        <v>280</v>
      </c>
      <c r="B13" s="2" t="s">
        <v>281</v>
      </c>
      <c r="C13" s="2" t="s">
        <v>282</v>
      </c>
      <c r="D13" s="2" t="s">
        <v>61</v>
      </c>
      <c r="E13" s="2" t="s">
        <v>104</v>
      </c>
      <c r="F13" s="2" t="s">
        <v>214</v>
      </c>
      <c r="G13" s="2" t="n">
        <v>340</v>
      </c>
      <c r="H13" s="2" t="n">
        <v>50</v>
      </c>
      <c r="I13" s="2" t="n">
        <v>590</v>
      </c>
      <c r="J13" s="2" t="n">
        <v>26</v>
      </c>
      <c r="K13" s="2" t="n">
        <v>22</v>
      </c>
      <c r="L13" s="2" t="n">
        <v>70</v>
      </c>
      <c r="M13" s="2" t="n">
        <v>3</v>
      </c>
      <c r="N13" s="2" t="n">
        <v>2</v>
      </c>
      <c r="O13" s="2" t="n">
        <v>1300</v>
      </c>
      <c r="P13" s="5" t="b">
        <f aca="false">FALSE()</f>
        <v>0</v>
      </c>
      <c r="Q13" s="2" t="n">
        <v>0</v>
      </c>
      <c r="R13" s="2" t="s">
        <v>283</v>
      </c>
      <c r="S13" s="2" t="s">
        <v>284</v>
      </c>
      <c r="T13" s="2" t="s">
        <v>285</v>
      </c>
      <c r="U13" s="2" t="s">
        <v>218</v>
      </c>
      <c r="V13" s="2" t="s">
        <v>219</v>
      </c>
      <c r="W13" s="2" t="s">
        <v>220</v>
      </c>
    </row>
    <row r="14" customFormat="false" ht="15" hidden="false" customHeight="false" outlineLevel="0" collapsed="false">
      <c r="A14" s="2" t="s">
        <v>286</v>
      </c>
      <c r="B14" s="2" t="s">
        <v>287</v>
      </c>
      <c r="C14" s="2" t="s">
        <v>288</v>
      </c>
      <c r="D14" s="2" t="s">
        <v>61</v>
      </c>
      <c r="E14" s="2" t="s">
        <v>104</v>
      </c>
      <c r="F14" s="2" t="s">
        <v>214</v>
      </c>
      <c r="G14" s="2" t="n">
        <v>300</v>
      </c>
      <c r="H14" s="2" t="n">
        <v>45</v>
      </c>
      <c r="I14" s="2" t="n">
        <v>620</v>
      </c>
      <c r="J14" s="2" t="n">
        <v>22</v>
      </c>
      <c r="K14" s="2" t="n">
        <v>34</v>
      </c>
      <c r="L14" s="2" t="n">
        <v>55</v>
      </c>
      <c r="M14" s="2" t="n">
        <v>2</v>
      </c>
      <c r="N14" s="2" t="n">
        <v>1</v>
      </c>
      <c r="O14" s="2" t="n">
        <v>1100</v>
      </c>
      <c r="P14" s="5" t="b">
        <f aca="false">FALSE()</f>
        <v>0</v>
      </c>
      <c r="Q14" s="2" t="n">
        <v>0</v>
      </c>
      <c r="R14" s="2" t="s">
        <v>289</v>
      </c>
      <c r="S14" s="2" t="s">
        <v>290</v>
      </c>
      <c r="T14" s="2" t="s">
        <v>291</v>
      </c>
      <c r="U14" s="2" t="s">
        <v>218</v>
      </c>
      <c r="V14" s="2" t="s">
        <v>219</v>
      </c>
      <c r="W14" s="2" t="s">
        <v>220</v>
      </c>
    </row>
    <row r="15" customFormat="false" ht="15" hidden="false" customHeight="false" outlineLevel="0" collapsed="false">
      <c r="A15" s="2" t="s">
        <v>292</v>
      </c>
      <c r="B15" s="2" t="s">
        <v>293</v>
      </c>
      <c r="C15" s="2" t="s">
        <v>294</v>
      </c>
      <c r="D15" s="2" t="s">
        <v>61</v>
      </c>
      <c r="E15" s="2" t="s">
        <v>104</v>
      </c>
      <c r="F15" s="2" t="s">
        <v>214</v>
      </c>
      <c r="G15" s="2" t="n">
        <v>350</v>
      </c>
      <c r="H15" s="2" t="n">
        <v>55</v>
      </c>
      <c r="I15" s="2" t="n">
        <v>640</v>
      </c>
      <c r="J15" s="2" t="n">
        <v>22</v>
      </c>
      <c r="K15" s="2" t="n">
        <v>30</v>
      </c>
      <c r="L15" s="2" t="n">
        <v>68</v>
      </c>
      <c r="M15" s="2" t="n">
        <v>5</v>
      </c>
      <c r="N15" s="2" t="n">
        <v>4</v>
      </c>
      <c r="O15" s="2" t="n">
        <v>1550</v>
      </c>
      <c r="P15" s="5" t="b">
        <f aca="false">FALSE()</f>
        <v>0</v>
      </c>
      <c r="Q15" s="2" t="n">
        <v>1</v>
      </c>
      <c r="R15" s="2" t="s">
        <v>295</v>
      </c>
      <c r="S15" s="2" t="s">
        <v>296</v>
      </c>
      <c r="T15" s="2" t="s">
        <v>297</v>
      </c>
      <c r="U15" s="2" t="s">
        <v>218</v>
      </c>
      <c r="V15" s="2" t="s">
        <v>219</v>
      </c>
      <c r="W15" s="2" t="s">
        <v>220</v>
      </c>
    </row>
    <row r="16" customFormat="false" ht="15" hidden="false" customHeight="false" outlineLevel="0" collapsed="false">
      <c r="A16" s="2" t="s">
        <v>298</v>
      </c>
      <c r="B16" s="2" t="s">
        <v>299</v>
      </c>
      <c r="C16" s="2" t="s">
        <v>300</v>
      </c>
      <c r="D16" s="2" t="s">
        <v>61</v>
      </c>
      <c r="E16" s="2" t="s">
        <v>104</v>
      </c>
      <c r="F16" s="2" t="s">
        <v>214</v>
      </c>
      <c r="G16" s="2" t="n">
        <v>350</v>
      </c>
      <c r="H16" s="2" t="n">
        <v>55</v>
      </c>
      <c r="I16" s="2" t="n">
        <v>600</v>
      </c>
      <c r="J16" s="2" t="n">
        <v>26</v>
      </c>
      <c r="K16" s="2" t="n">
        <v>22</v>
      </c>
      <c r="L16" s="2" t="n">
        <v>70</v>
      </c>
      <c r="M16" s="2" t="n">
        <v>6</v>
      </c>
      <c r="N16" s="2" t="n">
        <v>3</v>
      </c>
      <c r="O16" s="2" t="n">
        <v>1300</v>
      </c>
      <c r="P16" s="5" t="b">
        <f aca="false">FALSE()</f>
        <v>0</v>
      </c>
      <c r="Q16" s="2" t="n">
        <v>1</v>
      </c>
      <c r="R16" s="2" t="s">
        <v>301</v>
      </c>
      <c r="S16" s="2" t="s">
        <v>302</v>
      </c>
      <c r="T16" s="2" t="s">
        <v>303</v>
      </c>
      <c r="U16" s="2" t="s">
        <v>218</v>
      </c>
      <c r="V16" s="2" t="s">
        <v>219</v>
      </c>
      <c r="W16" s="2" t="s">
        <v>220</v>
      </c>
    </row>
    <row r="17" customFormat="false" ht="15" hidden="false" customHeight="false" outlineLevel="0" collapsed="false">
      <c r="A17" s="2" t="s">
        <v>304</v>
      </c>
      <c r="B17" s="2" t="s">
        <v>305</v>
      </c>
      <c r="C17" s="2" t="s">
        <v>306</v>
      </c>
      <c r="D17" s="2" t="s">
        <v>67</v>
      </c>
      <c r="E17" s="2" t="s">
        <v>110</v>
      </c>
      <c r="F17" s="2" t="s">
        <v>307</v>
      </c>
      <c r="G17" s="2" t="n">
        <v>450</v>
      </c>
      <c r="H17" s="2" t="n">
        <v>45</v>
      </c>
      <c r="I17" s="2" t="n">
        <v>350</v>
      </c>
      <c r="J17" s="2" t="n">
        <v>20</v>
      </c>
      <c r="K17" s="2" t="n">
        <v>8</v>
      </c>
      <c r="L17" s="2" t="n">
        <v>50</v>
      </c>
      <c r="M17" s="2" t="n">
        <v>4</v>
      </c>
      <c r="N17" s="2" t="n">
        <v>3</v>
      </c>
      <c r="O17" s="2" t="n">
        <v>1800</v>
      </c>
      <c r="P17" s="5" t="b">
        <f aca="false">FALSE()</f>
        <v>0</v>
      </c>
      <c r="Q17" s="2" t="n">
        <v>0</v>
      </c>
      <c r="R17" s="2" t="s">
        <v>308</v>
      </c>
      <c r="S17" s="2" t="s">
        <v>309</v>
      </c>
      <c r="T17" s="2" t="s">
        <v>310</v>
      </c>
      <c r="U17" s="2" t="s">
        <v>218</v>
      </c>
      <c r="V17" s="2" t="s">
        <v>219</v>
      </c>
      <c r="W17" s="2" t="s">
        <v>220</v>
      </c>
    </row>
    <row r="18" customFormat="false" ht="15" hidden="false" customHeight="false" outlineLevel="0" collapsed="false">
      <c r="A18" s="2" t="s">
        <v>311</v>
      </c>
      <c r="B18" s="2" t="s">
        <v>312</v>
      </c>
      <c r="C18" s="2" t="s">
        <v>313</v>
      </c>
      <c r="D18" s="2" t="s">
        <v>67</v>
      </c>
      <c r="E18" s="2" t="s">
        <v>110</v>
      </c>
      <c r="F18" s="2" t="s">
        <v>307</v>
      </c>
      <c r="G18" s="2" t="n">
        <v>450</v>
      </c>
      <c r="H18" s="2" t="n">
        <v>50</v>
      </c>
      <c r="I18" s="2" t="n">
        <v>480</v>
      </c>
      <c r="J18" s="2" t="n">
        <v>22</v>
      </c>
      <c r="K18" s="2" t="n">
        <v>16</v>
      </c>
      <c r="L18" s="2" t="n">
        <v>58</v>
      </c>
      <c r="M18" s="2" t="n">
        <v>12</v>
      </c>
      <c r="N18" s="2" t="n">
        <v>3</v>
      </c>
      <c r="O18" s="2" t="n">
        <v>2100</v>
      </c>
      <c r="P18" s="5" t="b">
        <f aca="false">FALSE()</f>
        <v>0</v>
      </c>
      <c r="Q18" s="2" t="n">
        <v>2</v>
      </c>
      <c r="R18" s="2" t="s">
        <v>314</v>
      </c>
      <c r="S18" s="2" t="s">
        <v>315</v>
      </c>
      <c r="T18" s="2" t="s">
        <v>316</v>
      </c>
      <c r="U18" s="2" t="s">
        <v>218</v>
      </c>
      <c r="V18" s="2" t="s">
        <v>219</v>
      </c>
      <c r="W18" s="2" t="s">
        <v>220</v>
      </c>
    </row>
    <row r="19" customFormat="false" ht="15" hidden="false" customHeight="false" outlineLevel="0" collapsed="false">
      <c r="A19" s="2" t="s">
        <v>317</v>
      </c>
      <c r="B19" s="2" t="s">
        <v>318</v>
      </c>
      <c r="C19" s="2" t="s">
        <v>319</v>
      </c>
      <c r="D19" s="2" t="s">
        <v>67</v>
      </c>
      <c r="E19" s="2" t="s">
        <v>110</v>
      </c>
      <c r="F19" s="2" t="s">
        <v>307</v>
      </c>
      <c r="G19" s="2" t="n">
        <v>450</v>
      </c>
      <c r="H19" s="2" t="n">
        <v>50</v>
      </c>
      <c r="I19" s="2" t="n">
        <v>420</v>
      </c>
      <c r="J19" s="2" t="n">
        <v>20</v>
      </c>
      <c r="K19" s="2" t="n">
        <v>10</v>
      </c>
      <c r="L19" s="2" t="n">
        <v>62</v>
      </c>
      <c r="M19" s="2" t="n">
        <v>16</v>
      </c>
      <c r="N19" s="2" t="n">
        <v>3</v>
      </c>
      <c r="O19" s="2" t="n">
        <v>2000</v>
      </c>
      <c r="P19" s="5" t="b">
        <f aca="false">FALSE()</f>
        <v>0</v>
      </c>
      <c r="Q19" s="2" t="n">
        <v>0</v>
      </c>
      <c r="R19" s="2" t="s">
        <v>320</v>
      </c>
      <c r="S19" s="2" t="s">
        <v>321</v>
      </c>
      <c r="T19" s="2" t="s">
        <v>322</v>
      </c>
      <c r="U19" s="2" t="s">
        <v>218</v>
      </c>
      <c r="V19" s="2" t="s">
        <v>219</v>
      </c>
      <c r="W19" s="2" t="s">
        <v>220</v>
      </c>
    </row>
    <row r="20" customFormat="false" ht="15" hidden="false" customHeight="false" outlineLevel="0" collapsed="false">
      <c r="A20" s="2" t="s">
        <v>323</v>
      </c>
      <c r="B20" s="2" t="s">
        <v>324</v>
      </c>
      <c r="C20" s="2" t="s">
        <v>325</v>
      </c>
      <c r="D20" s="2" t="s">
        <v>67</v>
      </c>
      <c r="E20" s="2" t="s">
        <v>110</v>
      </c>
      <c r="F20" s="2" t="s">
        <v>307</v>
      </c>
      <c r="G20" s="2" t="n">
        <v>450</v>
      </c>
      <c r="H20" s="2" t="n">
        <v>60</v>
      </c>
      <c r="I20" s="2" t="n">
        <v>450</v>
      </c>
      <c r="J20" s="2" t="n">
        <v>26</v>
      </c>
      <c r="K20" s="2" t="n">
        <v>14</v>
      </c>
      <c r="L20" s="2" t="n">
        <v>52</v>
      </c>
      <c r="M20" s="2" t="n">
        <v>5</v>
      </c>
      <c r="N20" s="2" t="n">
        <v>3</v>
      </c>
      <c r="O20" s="2" t="n">
        <v>1900</v>
      </c>
      <c r="P20" s="5" t="b">
        <f aca="false">FALSE()</f>
        <v>0</v>
      </c>
      <c r="Q20" s="2" t="n">
        <v>0</v>
      </c>
      <c r="R20" s="2" t="s">
        <v>326</v>
      </c>
      <c r="S20" s="2" t="s">
        <v>327</v>
      </c>
      <c r="T20" s="2" t="s">
        <v>328</v>
      </c>
      <c r="U20" s="2" t="s">
        <v>218</v>
      </c>
      <c r="V20" s="2" t="s">
        <v>219</v>
      </c>
      <c r="W20" s="2" t="s">
        <v>220</v>
      </c>
    </row>
    <row r="21" customFormat="false" ht="15" hidden="false" customHeight="false" outlineLevel="0" collapsed="false">
      <c r="A21" s="2" t="s">
        <v>329</v>
      </c>
      <c r="B21" s="2" t="s">
        <v>330</v>
      </c>
      <c r="C21" s="2" t="s">
        <v>331</v>
      </c>
      <c r="D21" s="2" t="s">
        <v>67</v>
      </c>
      <c r="E21" s="2" t="s">
        <v>110</v>
      </c>
      <c r="F21" s="2" t="s">
        <v>307</v>
      </c>
      <c r="G21" s="2" t="n">
        <v>400</v>
      </c>
      <c r="H21" s="2" t="n">
        <v>50</v>
      </c>
      <c r="I21" s="2" t="n">
        <v>480</v>
      </c>
      <c r="J21" s="2" t="n">
        <v>24</v>
      </c>
      <c r="K21" s="2" t="n">
        <v>14</v>
      </c>
      <c r="L21" s="2" t="n">
        <v>62</v>
      </c>
      <c r="M21" s="2" t="n">
        <v>6</v>
      </c>
      <c r="N21" s="2" t="n">
        <v>2</v>
      </c>
      <c r="O21" s="2" t="n">
        <v>1700</v>
      </c>
      <c r="P21" s="5" t="b">
        <f aca="false">FALSE()</f>
        <v>0</v>
      </c>
      <c r="Q21" s="2" t="n">
        <v>0</v>
      </c>
      <c r="R21" s="2" t="s">
        <v>332</v>
      </c>
      <c r="S21" s="2" t="s">
        <v>333</v>
      </c>
      <c r="T21" s="2" t="s">
        <v>334</v>
      </c>
      <c r="U21" s="2" t="s">
        <v>218</v>
      </c>
      <c r="V21" s="2" t="s">
        <v>219</v>
      </c>
      <c r="W21" s="2" t="s">
        <v>220</v>
      </c>
    </row>
    <row r="22" customFormat="false" ht="15" hidden="false" customHeight="false" outlineLevel="0" collapsed="false">
      <c r="A22" s="2" t="s">
        <v>335</v>
      </c>
      <c r="B22" s="2" t="s">
        <v>336</v>
      </c>
      <c r="C22" s="2" t="s">
        <v>337</v>
      </c>
      <c r="D22" s="2" t="s">
        <v>67</v>
      </c>
      <c r="E22" s="2" t="s">
        <v>104</v>
      </c>
      <c r="F22" s="2" t="s">
        <v>214</v>
      </c>
      <c r="G22" s="2" t="n">
        <v>350</v>
      </c>
      <c r="H22" s="2" t="n">
        <v>60</v>
      </c>
      <c r="I22" s="2" t="n">
        <v>640</v>
      </c>
      <c r="J22" s="2" t="n">
        <v>24</v>
      </c>
      <c r="K22" s="2" t="n">
        <v>22</v>
      </c>
      <c r="L22" s="2" t="n">
        <v>85</v>
      </c>
      <c r="M22" s="2" t="n">
        <v>18</v>
      </c>
      <c r="N22" s="2" t="n">
        <v>3</v>
      </c>
      <c r="O22" s="2" t="n">
        <v>1400</v>
      </c>
      <c r="P22" s="5" t="b">
        <f aca="false">FALSE()</f>
        <v>0</v>
      </c>
      <c r="Q22" s="2" t="n">
        <v>0</v>
      </c>
      <c r="R22" s="2" t="s">
        <v>338</v>
      </c>
      <c r="S22" s="2" t="s">
        <v>339</v>
      </c>
      <c r="T22" s="2" t="s">
        <v>340</v>
      </c>
      <c r="U22" s="2" t="s">
        <v>218</v>
      </c>
      <c r="V22" s="2" t="s">
        <v>219</v>
      </c>
      <c r="W22" s="2" t="s">
        <v>220</v>
      </c>
    </row>
    <row r="23" customFormat="false" ht="15" hidden="false" customHeight="false" outlineLevel="0" collapsed="false">
      <c r="A23" s="2" t="s">
        <v>341</v>
      </c>
      <c r="B23" s="2" t="s">
        <v>342</v>
      </c>
      <c r="C23" s="2" t="s">
        <v>343</v>
      </c>
      <c r="D23" s="2" t="s">
        <v>67</v>
      </c>
      <c r="E23" s="2" t="s">
        <v>104</v>
      </c>
      <c r="F23" s="2" t="s">
        <v>214</v>
      </c>
      <c r="G23" s="2" t="n">
        <v>350</v>
      </c>
      <c r="H23" s="2" t="n">
        <v>50</v>
      </c>
      <c r="I23" s="2" t="n">
        <v>620</v>
      </c>
      <c r="J23" s="2" t="n">
        <v>22</v>
      </c>
      <c r="K23" s="2" t="n">
        <v>24</v>
      </c>
      <c r="L23" s="2" t="n">
        <v>78</v>
      </c>
      <c r="M23" s="2" t="n">
        <v>8</v>
      </c>
      <c r="N23" s="2" t="n">
        <v>3</v>
      </c>
      <c r="O23" s="2" t="n">
        <v>1600</v>
      </c>
      <c r="P23" s="5" t="b">
        <f aca="false">FALSE()</f>
        <v>0</v>
      </c>
      <c r="Q23" s="2" t="n">
        <v>0</v>
      </c>
      <c r="R23" s="2" t="s">
        <v>344</v>
      </c>
      <c r="S23" s="2" t="s">
        <v>345</v>
      </c>
      <c r="T23" s="2" t="s">
        <v>346</v>
      </c>
      <c r="U23" s="2" t="s">
        <v>218</v>
      </c>
      <c r="V23" s="2" t="s">
        <v>219</v>
      </c>
      <c r="W23" s="2" t="s">
        <v>220</v>
      </c>
    </row>
    <row r="24" customFormat="false" ht="15" hidden="false" customHeight="false" outlineLevel="0" collapsed="false">
      <c r="A24" s="2" t="s">
        <v>347</v>
      </c>
      <c r="B24" s="2" t="s">
        <v>348</v>
      </c>
      <c r="C24" s="2" t="s">
        <v>349</v>
      </c>
      <c r="D24" s="2" t="s">
        <v>67</v>
      </c>
      <c r="E24" s="2" t="s">
        <v>104</v>
      </c>
      <c r="F24" s="2" t="s">
        <v>214</v>
      </c>
      <c r="G24" s="2" t="n">
        <v>400</v>
      </c>
      <c r="H24" s="2" t="n">
        <v>50</v>
      </c>
      <c r="I24" s="2" t="n">
        <v>560</v>
      </c>
      <c r="J24" s="2" t="n">
        <v>22</v>
      </c>
      <c r="K24" s="2" t="n">
        <v>18</v>
      </c>
      <c r="L24" s="2" t="n">
        <v>75</v>
      </c>
      <c r="M24" s="2" t="n">
        <v>10</v>
      </c>
      <c r="N24" s="2" t="n">
        <v>3</v>
      </c>
      <c r="O24" s="2" t="n">
        <v>1500</v>
      </c>
      <c r="P24" s="5" t="b">
        <f aca="false">FALSE()</f>
        <v>0</v>
      </c>
      <c r="Q24" s="2" t="n">
        <v>0</v>
      </c>
      <c r="R24" s="2" t="s">
        <v>295</v>
      </c>
      <c r="S24" s="2" t="s">
        <v>350</v>
      </c>
      <c r="T24" s="2" t="s">
        <v>351</v>
      </c>
      <c r="U24" s="2" t="s">
        <v>218</v>
      </c>
      <c r="V24" s="2" t="s">
        <v>219</v>
      </c>
      <c r="W24" s="2" t="s">
        <v>220</v>
      </c>
    </row>
    <row r="25" customFormat="false" ht="15" hidden="false" customHeight="false" outlineLevel="0" collapsed="false">
      <c r="A25" s="2" t="s">
        <v>352</v>
      </c>
      <c r="B25" s="2" t="s">
        <v>353</v>
      </c>
      <c r="C25" s="2" t="s">
        <v>354</v>
      </c>
      <c r="D25" s="2" t="s">
        <v>67</v>
      </c>
      <c r="E25" s="2" t="s">
        <v>104</v>
      </c>
      <c r="F25" s="2" t="s">
        <v>214</v>
      </c>
      <c r="G25" s="2" t="n">
        <v>350</v>
      </c>
      <c r="H25" s="2" t="n">
        <v>50</v>
      </c>
      <c r="I25" s="2" t="n">
        <v>580</v>
      </c>
      <c r="J25" s="2" t="n">
        <v>22</v>
      </c>
      <c r="K25" s="2" t="n">
        <v>22</v>
      </c>
      <c r="L25" s="2" t="n">
        <v>72</v>
      </c>
      <c r="M25" s="2" t="n">
        <v>6</v>
      </c>
      <c r="N25" s="2" t="n">
        <v>2</v>
      </c>
      <c r="O25" s="2" t="n">
        <v>1450</v>
      </c>
      <c r="P25" s="5" t="b">
        <f aca="false">FALSE()</f>
        <v>0</v>
      </c>
      <c r="Q25" s="2" t="n">
        <v>0</v>
      </c>
      <c r="R25" s="2" t="s">
        <v>301</v>
      </c>
      <c r="S25" s="2" t="s">
        <v>355</v>
      </c>
      <c r="T25" s="2" t="s">
        <v>356</v>
      </c>
      <c r="U25" s="2" t="s">
        <v>218</v>
      </c>
      <c r="V25" s="2" t="s">
        <v>219</v>
      </c>
      <c r="W25" s="2" t="s">
        <v>220</v>
      </c>
    </row>
    <row r="26" customFormat="false" ht="15" hidden="false" customHeight="false" outlineLevel="0" collapsed="false">
      <c r="A26" s="2" t="s">
        <v>357</v>
      </c>
      <c r="B26" s="2" t="s">
        <v>358</v>
      </c>
      <c r="C26" s="2" t="s">
        <v>359</v>
      </c>
      <c r="D26" s="2" t="s">
        <v>67</v>
      </c>
      <c r="E26" s="2" t="s">
        <v>116</v>
      </c>
      <c r="F26" s="2" t="s">
        <v>214</v>
      </c>
      <c r="G26" s="2" t="n">
        <v>400</v>
      </c>
      <c r="H26" s="2" t="n">
        <v>45</v>
      </c>
      <c r="I26" s="2" t="n">
        <v>520</v>
      </c>
      <c r="J26" s="2" t="n">
        <v>18</v>
      </c>
      <c r="K26" s="2" t="n">
        <v>24</v>
      </c>
      <c r="L26" s="2" t="n">
        <v>58</v>
      </c>
      <c r="M26" s="2" t="n">
        <v>6</v>
      </c>
      <c r="N26" s="2" t="n">
        <v>4</v>
      </c>
      <c r="O26" s="2" t="n">
        <v>1400</v>
      </c>
      <c r="P26" s="5" t="b">
        <f aca="false">FALSE()</f>
        <v>0</v>
      </c>
      <c r="Q26" s="2" t="n">
        <v>1</v>
      </c>
      <c r="R26" s="2" t="s">
        <v>360</v>
      </c>
      <c r="S26" s="2" t="s">
        <v>361</v>
      </c>
      <c r="T26" s="2" t="s">
        <v>362</v>
      </c>
      <c r="U26" s="2" t="s">
        <v>218</v>
      </c>
      <c r="V26" s="2" t="s">
        <v>219</v>
      </c>
      <c r="W26" s="2" t="s">
        <v>220</v>
      </c>
    </row>
    <row r="27" customFormat="false" ht="15" hidden="false" customHeight="false" outlineLevel="0" collapsed="false">
      <c r="A27" s="2" t="s">
        <v>363</v>
      </c>
      <c r="B27" s="2" t="s">
        <v>364</v>
      </c>
      <c r="C27" s="2" t="s">
        <v>365</v>
      </c>
      <c r="D27" s="2" t="s">
        <v>67</v>
      </c>
      <c r="E27" s="2" t="s">
        <v>104</v>
      </c>
      <c r="F27" s="2" t="s">
        <v>307</v>
      </c>
      <c r="G27" s="2" t="n">
        <v>400</v>
      </c>
      <c r="H27" s="2" t="n">
        <v>55</v>
      </c>
      <c r="I27" s="2" t="n">
        <v>380</v>
      </c>
      <c r="J27" s="2" t="n">
        <v>24</v>
      </c>
      <c r="K27" s="2" t="n">
        <v>12</v>
      </c>
      <c r="L27" s="2" t="n">
        <v>42</v>
      </c>
      <c r="M27" s="2" t="n">
        <v>8</v>
      </c>
      <c r="N27" s="2" t="n">
        <v>4</v>
      </c>
      <c r="O27" s="2" t="n">
        <v>1600</v>
      </c>
      <c r="P27" s="5" t="b">
        <f aca="false">FALSE()</f>
        <v>0</v>
      </c>
      <c r="Q27" s="2" t="n">
        <v>0</v>
      </c>
      <c r="R27" s="2" t="s">
        <v>366</v>
      </c>
      <c r="S27" s="2" t="s">
        <v>367</v>
      </c>
      <c r="T27" s="2" t="s">
        <v>368</v>
      </c>
      <c r="U27" s="2" t="s">
        <v>218</v>
      </c>
      <c r="V27" s="2" t="s">
        <v>219</v>
      </c>
      <c r="W27" s="2" t="s">
        <v>220</v>
      </c>
    </row>
    <row r="28" customFormat="false" ht="15" hidden="false" customHeight="false" outlineLevel="0" collapsed="false">
      <c r="A28" s="2" t="s">
        <v>369</v>
      </c>
      <c r="B28" s="2" t="s">
        <v>370</v>
      </c>
      <c r="C28" s="2" t="s">
        <v>371</v>
      </c>
      <c r="D28" s="2" t="s">
        <v>67</v>
      </c>
      <c r="E28" s="2" t="s">
        <v>104</v>
      </c>
      <c r="F28" s="2" t="s">
        <v>214</v>
      </c>
      <c r="G28" s="2" t="n">
        <v>350</v>
      </c>
      <c r="H28" s="2" t="n">
        <v>55</v>
      </c>
      <c r="I28" s="2" t="n">
        <v>520</v>
      </c>
      <c r="J28" s="2" t="n">
        <v>24</v>
      </c>
      <c r="K28" s="2" t="n">
        <v>20</v>
      </c>
      <c r="L28" s="2" t="n">
        <v>58</v>
      </c>
      <c r="M28" s="2" t="n">
        <v>12</v>
      </c>
      <c r="N28" s="2" t="n">
        <v>4</v>
      </c>
      <c r="O28" s="2" t="n">
        <v>1700</v>
      </c>
      <c r="P28" s="5" t="b">
        <f aca="false">FALSE()</f>
        <v>0</v>
      </c>
      <c r="Q28" s="2" t="n">
        <v>1</v>
      </c>
      <c r="R28" s="2" t="s">
        <v>295</v>
      </c>
      <c r="S28" s="2" t="s">
        <v>372</v>
      </c>
      <c r="T28" s="2" t="s">
        <v>373</v>
      </c>
      <c r="U28" s="2" t="s">
        <v>218</v>
      </c>
      <c r="V28" s="2" t="s">
        <v>219</v>
      </c>
      <c r="W28" s="2" t="s">
        <v>220</v>
      </c>
    </row>
    <row r="29" customFormat="false" ht="15" hidden="false" customHeight="false" outlineLevel="0" collapsed="false">
      <c r="A29" s="2" t="s">
        <v>374</v>
      </c>
      <c r="B29" s="2" t="s">
        <v>375</v>
      </c>
      <c r="C29" s="2" t="s">
        <v>376</v>
      </c>
      <c r="D29" s="2" t="s">
        <v>73</v>
      </c>
      <c r="E29" s="2" t="s">
        <v>113</v>
      </c>
      <c r="F29" s="2" t="s">
        <v>214</v>
      </c>
      <c r="G29" s="2" t="n">
        <v>200</v>
      </c>
      <c r="H29" s="2" t="n">
        <v>40</v>
      </c>
      <c r="I29" s="2" t="n">
        <v>135</v>
      </c>
      <c r="J29" s="2" t="n">
        <v>4</v>
      </c>
      <c r="K29" s="2" t="n">
        <v>3</v>
      </c>
      <c r="L29" s="2" t="n">
        <v>24</v>
      </c>
      <c r="M29" s="2" t="n">
        <v>14</v>
      </c>
      <c r="N29" s="2" t="n">
        <v>5</v>
      </c>
      <c r="O29" s="2" t="n">
        <v>900</v>
      </c>
      <c r="P29" s="5" t="b">
        <f aca="false">TRUE()</f>
        <v>1</v>
      </c>
      <c r="Q29" s="2" t="n">
        <v>2</v>
      </c>
      <c r="R29" s="2" t="s">
        <v>377</v>
      </c>
      <c r="S29" s="2" t="s">
        <v>378</v>
      </c>
      <c r="T29" s="2" t="s">
        <v>379</v>
      </c>
      <c r="U29" s="2" t="s">
        <v>218</v>
      </c>
      <c r="V29" s="2" t="s">
        <v>219</v>
      </c>
      <c r="W29" s="2" t="s">
        <v>220</v>
      </c>
    </row>
    <row r="30" customFormat="false" ht="15" hidden="false" customHeight="false" outlineLevel="0" collapsed="false">
      <c r="A30" s="2" t="s">
        <v>380</v>
      </c>
      <c r="B30" s="2" t="s">
        <v>381</v>
      </c>
      <c r="C30" s="2" t="s">
        <v>382</v>
      </c>
      <c r="D30" s="2" t="s">
        <v>73</v>
      </c>
      <c r="E30" s="2" t="s">
        <v>113</v>
      </c>
      <c r="F30" s="2" t="s">
        <v>214</v>
      </c>
      <c r="G30" s="2" t="n">
        <v>220</v>
      </c>
      <c r="H30" s="2" t="n">
        <v>45</v>
      </c>
      <c r="I30" s="2" t="n">
        <v>150</v>
      </c>
      <c r="J30" s="2" t="n">
        <v>8</v>
      </c>
      <c r="K30" s="2" t="n">
        <v>3</v>
      </c>
      <c r="L30" s="2" t="n">
        <v>22</v>
      </c>
      <c r="M30" s="2" t="n">
        <v>10</v>
      </c>
      <c r="N30" s="2" t="n">
        <v>5</v>
      </c>
      <c r="O30" s="2" t="n">
        <v>1500</v>
      </c>
      <c r="P30" s="5" t="b">
        <f aca="false">FALSE()</f>
        <v>0</v>
      </c>
      <c r="Q30" s="2" t="n">
        <v>3</v>
      </c>
      <c r="R30" s="2" t="s">
        <v>383</v>
      </c>
      <c r="S30" s="2" t="s">
        <v>384</v>
      </c>
      <c r="T30" s="2" t="s">
        <v>385</v>
      </c>
      <c r="U30" s="2" t="s">
        <v>218</v>
      </c>
      <c r="V30" s="2" t="s">
        <v>219</v>
      </c>
      <c r="W30" s="2" t="s">
        <v>220</v>
      </c>
    </row>
    <row r="31" customFormat="false" ht="15" hidden="false" customHeight="false" outlineLevel="0" collapsed="false">
      <c r="A31" s="2" t="s">
        <v>386</v>
      </c>
      <c r="B31" s="2" t="s">
        <v>387</v>
      </c>
      <c r="C31" s="2" t="s">
        <v>388</v>
      </c>
      <c r="D31" s="2" t="s">
        <v>73</v>
      </c>
      <c r="E31" s="2" t="s">
        <v>113</v>
      </c>
      <c r="F31" s="2" t="s">
        <v>214</v>
      </c>
      <c r="G31" s="2" t="n">
        <v>150</v>
      </c>
      <c r="H31" s="2" t="n">
        <v>50</v>
      </c>
      <c r="I31" s="2" t="n">
        <v>230</v>
      </c>
      <c r="J31" s="2" t="n">
        <v>20</v>
      </c>
      <c r="K31" s="2" t="n">
        <v>14</v>
      </c>
      <c r="L31" s="2" t="n">
        <v>6</v>
      </c>
      <c r="M31" s="2" t="n">
        <v>2</v>
      </c>
      <c r="N31" s="2" t="n">
        <v>2</v>
      </c>
      <c r="O31" s="2" t="n">
        <v>1100</v>
      </c>
      <c r="P31" s="5" t="b">
        <f aca="false">FALSE()</f>
        <v>0</v>
      </c>
      <c r="Q31" s="2" t="n">
        <v>3</v>
      </c>
      <c r="R31" s="2" t="s">
        <v>389</v>
      </c>
      <c r="S31" s="2" t="s">
        <v>390</v>
      </c>
      <c r="T31" s="2" t="s">
        <v>391</v>
      </c>
      <c r="U31" s="2" t="s">
        <v>218</v>
      </c>
      <c r="V31" s="2" t="s">
        <v>219</v>
      </c>
      <c r="W31" s="2" t="s">
        <v>220</v>
      </c>
    </row>
    <row r="32" customFormat="false" ht="15" hidden="false" customHeight="false" outlineLevel="0" collapsed="false">
      <c r="A32" s="2" t="s">
        <v>392</v>
      </c>
      <c r="B32" s="2" t="s">
        <v>393</v>
      </c>
      <c r="C32" s="2" t="s">
        <v>394</v>
      </c>
      <c r="D32" s="2" t="s">
        <v>73</v>
      </c>
      <c r="E32" s="2" t="s">
        <v>113</v>
      </c>
      <c r="F32" s="2" t="s">
        <v>395</v>
      </c>
      <c r="G32" s="2" t="n">
        <v>180</v>
      </c>
      <c r="H32" s="2" t="n">
        <v>60</v>
      </c>
      <c r="I32" s="2" t="n">
        <v>380</v>
      </c>
      <c r="J32" s="2" t="n">
        <v>34</v>
      </c>
      <c r="K32" s="2" t="n">
        <v>24</v>
      </c>
      <c r="L32" s="2" t="n">
        <v>4</v>
      </c>
      <c r="M32" s="2" t="n">
        <v>2</v>
      </c>
      <c r="N32" s="2" t="n">
        <v>0</v>
      </c>
      <c r="O32" s="2" t="n">
        <v>800</v>
      </c>
      <c r="P32" s="5" t="b">
        <f aca="false">FALSE()</f>
        <v>0</v>
      </c>
      <c r="Q32" s="2" t="n">
        <v>0</v>
      </c>
      <c r="R32" s="2" t="s">
        <v>396</v>
      </c>
      <c r="S32" s="2" t="s">
        <v>397</v>
      </c>
      <c r="T32" s="2" t="s">
        <v>398</v>
      </c>
      <c r="U32" s="2" t="s">
        <v>218</v>
      </c>
      <c r="V32" s="2" t="s">
        <v>219</v>
      </c>
      <c r="W32" s="2" t="s">
        <v>220</v>
      </c>
    </row>
    <row r="33" customFormat="false" ht="15" hidden="false" customHeight="false" outlineLevel="0" collapsed="false">
      <c r="A33" s="2" t="s">
        <v>399</v>
      </c>
      <c r="B33" s="2" t="s">
        <v>400</v>
      </c>
      <c r="C33" s="2" t="s">
        <v>401</v>
      </c>
      <c r="D33" s="2" t="s">
        <v>73</v>
      </c>
      <c r="E33" s="2" t="s">
        <v>113</v>
      </c>
      <c r="F33" s="2" t="s">
        <v>214</v>
      </c>
      <c r="G33" s="2" t="n">
        <v>150</v>
      </c>
      <c r="H33" s="2" t="n">
        <v>60</v>
      </c>
      <c r="I33" s="2" t="n">
        <v>420</v>
      </c>
      <c r="J33" s="2" t="n">
        <v>26</v>
      </c>
      <c r="K33" s="2" t="n">
        <v>34</v>
      </c>
      <c r="L33" s="2" t="n">
        <v>3</v>
      </c>
      <c r="M33" s="2" t="n">
        <v>2</v>
      </c>
      <c r="N33" s="2" t="n">
        <v>0</v>
      </c>
      <c r="O33" s="2" t="n">
        <v>750</v>
      </c>
      <c r="P33" s="5" t="b">
        <f aca="false">FALSE()</f>
        <v>0</v>
      </c>
      <c r="Q33" s="2" t="n">
        <v>0</v>
      </c>
      <c r="R33" s="2" t="s">
        <v>402</v>
      </c>
      <c r="S33" s="2" t="s">
        <v>403</v>
      </c>
      <c r="T33" s="2" t="s">
        <v>404</v>
      </c>
      <c r="U33" s="2" t="s">
        <v>218</v>
      </c>
      <c r="V33" s="2" t="s">
        <v>219</v>
      </c>
      <c r="W33" s="2" t="s">
        <v>220</v>
      </c>
    </row>
    <row r="34" customFormat="false" ht="15" hidden="false" customHeight="false" outlineLevel="0" collapsed="false">
      <c r="A34" s="2" t="s">
        <v>405</v>
      </c>
      <c r="B34" s="2" t="s">
        <v>406</v>
      </c>
      <c r="C34" s="2" t="s">
        <v>407</v>
      </c>
      <c r="D34" s="2" t="s">
        <v>97</v>
      </c>
      <c r="E34" s="2" t="s">
        <v>113</v>
      </c>
      <c r="F34" s="2" t="s">
        <v>408</v>
      </c>
      <c r="G34" s="2" t="n">
        <v>120</v>
      </c>
      <c r="H34" s="2" t="n">
        <v>10</v>
      </c>
      <c r="I34" s="2" t="n">
        <v>210</v>
      </c>
      <c r="J34" s="2" t="n">
        <v>4</v>
      </c>
      <c r="K34" s="2" t="n">
        <v>0.5</v>
      </c>
      <c r="L34" s="2" t="n">
        <v>46</v>
      </c>
      <c r="M34" s="2" t="n">
        <v>0</v>
      </c>
      <c r="N34" s="2" t="n">
        <v>1</v>
      </c>
      <c r="O34" s="2" t="n">
        <v>5</v>
      </c>
      <c r="P34" s="5" t="b">
        <f aca="false">TRUE()</f>
        <v>1</v>
      </c>
      <c r="Q34" s="2" t="n">
        <v>0</v>
      </c>
      <c r="R34" s="2" t="s">
        <v>409</v>
      </c>
      <c r="S34" s="2" t="s">
        <v>410</v>
      </c>
      <c r="T34" s="2" t="s">
        <v>411</v>
      </c>
      <c r="U34" s="2" t="s">
        <v>218</v>
      </c>
      <c r="V34" s="2" t="s">
        <v>219</v>
      </c>
      <c r="W34" s="2" t="s">
        <v>220</v>
      </c>
    </row>
    <row r="35" customFormat="false" ht="15" hidden="false" customHeight="false" outlineLevel="0" collapsed="false">
      <c r="A35" s="2" t="s">
        <v>412</v>
      </c>
      <c r="B35" s="2" t="s">
        <v>413</v>
      </c>
      <c r="C35" s="2" t="s">
        <v>414</v>
      </c>
      <c r="D35" s="2" t="s">
        <v>73</v>
      </c>
      <c r="E35" s="2" t="s">
        <v>113</v>
      </c>
      <c r="F35" s="2" t="s">
        <v>415</v>
      </c>
      <c r="G35" s="2" t="n">
        <v>400</v>
      </c>
      <c r="H35" s="2" t="n">
        <v>60</v>
      </c>
      <c r="I35" s="2" t="n">
        <v>320</v>
      </c>
      <c r="J35" s="2" t="n">
        <v>24</v>
      </c>
      <c r="K35" s="2" t="n">
        <v>18</v>
      </c>
      <c r="L35" s="2" t="n">
        <v>12</v>
      </c>
      <c r="M35" s="2" t="n">
        <v>4</v>
      </c>
      <c r="N35" s="2" t="n">
        <v>2</v>
      </c>
      <c r="O35" s="2" t="n">
        <v>1800</v>
      </c>
      <c r="P35" s="5" t="b">
        <f aca="false">FALSE()</f>
        <v>0</v>
      </c>
      <c r="Q35" s="2" t="n">
        <v>3</v>
      </c>
      <c r="R35" s="2" t="s">
        <v>314</v>
      </c>
      <c r="S35" s="2" t="s">
        <v>416</v>
      </c>
      <c r="T35" s="2" t="s">
        <v>417</v>
      </c>
      <c r="U35" s="2" t="s">
        <v>218</v>
      </c>
      <c r="V35" s="2" t="s">
        <v>219</v>
      </c>
      <c r="W35" s="2" t="s">
        <v>220</v>
      </c>
    </row>
    <row r="36" customFormat="false" ht="15" hidden="false" customHeight="false" outlineLevel="0" collapsed="false">
      <c r="A36" s="2" t="s">
        <v>418</v>
      </c>
      <c r="B36" s="2" t="s">
        <v>419</v>
      </c>
      <c r="C36" s="2" t="s">
        <v>420</v>
      </c>
      <c r="D36" s="2" t="s">
        <v>79</v>
      </c>
      <c r="E36" s="2" t="s">
        <v>116</v>
      </c>
      <c r="F36" s="2" t="s">
        <v>214</v>
      </c>
      <c r="G36" s="2" t="n">
        <v>400</v>
      </c>
      <c r="H36" s="2" t="n">
        <v>50</v>
      </c>
      <c r="I36" s="2" t="n">
        <v>600</v>
      </c>
      <c r="J36" s="2" t="n">
        <v>24</v>
      </c>
      <c r="K36" s="2" t="n">
        <v>30</v>
      </c>
      <c r="L36" s="2" t="n">
        <v>60</v>
      </c>
      <c r="M36" s="2" t="n">
        <v>8</v>
      </c>
      <c r="N36" s="2" t="n">
        <v>4</v>
      </c>
      <c r="O36" s="2" t="n">
        <v>1500</v>
      </c>
      <c r="P36" s="5" t="b">
        <f aca="false">FALSE()</f>
        <v>0</v>
      </c>
      <c r="Q36" s="2" t="n">
        <v>2</v>
      </c>
      <c r="R36" s="2" t="s">
        <v>421</v>
      </c>
      <c r="S36" s="2" t="s">
        <v>422</v>
      </c>
      <c r="T36" s="2" t="s">
        <v>423</v>
      </c>
      <c r="U36" s="2" t="s">
        <v>218</v>
      </c>
      <c r="V36" s="2" t="s">
        <v>219</v>
      </c>
      <c r="W36" s="2" t="s">
        <v>220</v>
      </c>
    </row>
    <row r="37" customFormat="false" ht="15" hidden="false" customHeight="false" outlineLevel="0" collapsed="false">
      <c r="A37" s="2" t="s">
        <v>424</v>
      </c>
      <c r="B37" s="2" t="s">
        <v>425</v>
      </c>
      <c r="C37" s="2" t="s">
        <v>426</v>
      </c>
      <c r="D37" s="2" t="s">
        <v>79</v>
      </c>
      <c r="E37" s="2" t="s">
        <v>116</v>
      </c>
      <c r="F37" s="2" t="s">
        <v>415</v>
      </c>
      <c r="G37" s="2" t="n">
        <v>350</v>
      </c>
      <c r="H37" s="2" t="n">
        <v>45</v>
      </c>
      <c r="I37" s="2" t="n">
        <v>180</v>
      </c>
      <c r="J37" s="2" t="n">
        <v>16</v>
      </c>
      <c r="K37" s="2" t="n">
        <v>9</v>
      </c>
      <c r="L37" s="2" t="n">
        <v>10</v>
      </c>
      <c r="M37" s="2" t="n">
        <v>3</v>
      </c>
      <c r="N37" s="2" t="n">
        <v>2</v>
      </c>
      <c r="O37" s="2" t="n">
        <v>1200</v>
      </c>
      <c r="P37" s="5" t="b">
        <f aca="false">FALSE()</f>
        <v>0</v>
      </c>
      <c r="Q37" s="2" t="n">
        <v>0</v>
      </c>
      <c r="R37" s="2" t="s">
        <v>427</v>
      </c>
      <c r="S37" s="2" t="s">
        <v>428</v>
      </c>
      <c r="T37" s="2" t="s">
        <v>429</v>
      </c>
      <c r="U37" s="2" t="s">
        <v>218</v>
      </c>
      <c r="V37" s="2" t="s">
        <v>219</v>
      </c>
      <c r="W37" s="2" t="s">
        <v>220</v>
      </c>
    </row>
    <row r="38" customFormat="false" ht="15" hidden="false" customHeight="false" outlineLevel="0" collapsed="false">
      <c r="A38" s="2" t="s">
        <v>430</v>
      </c>
      <c r="B38" s="2" t="s">
        <v>431</v>
      </c>
      <c r="C38" s="2" t="s">
        <v>432</v>
      </c>
      <c r="D38" s="2" t="s">
        <v>79</v>
      </c>
      <c r="E38" s="2" t="s">
        <v>104</v>
      </c>
      <c r="F38" s="2" t="s">
        <v>415</v>
      </c>
      <c r="G38" s="2" t="n">
        <v>350</v>
      </c>
      <c r="H38" s="2" t="n">
        <v>80</v>
      </c>
      <c r="I38" s="2" t="n">
        <v>300</v>
      </c>
      <c r="J38" s="2" t="n">
        <v>22</v>
      </c>
      <c r="K38" s="2" t="n">
        <v>18</v>
      </c>
      <c r="L38" s="2" t="n">
        <v>14</v>
      </c>
      <c r="M38" s="2" t="n">
        <v>6</v>
      </c>
      <c r="N38" s="2" t="n">
        <v>2</v>
      </c>
      <c r="O38" s="2" t="n">
        <v>1900</v>
      </c>
      <c r="P38" s="5" t="b">
        <f aca="false">FALSE()</f>
        <v>0</v>
      </c>
      <c r="Q38" s="2" t="n">
        <v>3</v>
      </c>
      <c r="R38" s="2" t="s">
        <v>433</v>
      </c>
      <c r="S38" s="2" t="s">
        <v>434</v>
      </c>
      <c r="T38" s="2" t="s">
        <v>435</v>
      </c>
      <c r="U38" s="2" t="s">
        <v>218</v>
      </c>
      <c r="V38" s="2" t="s">
        <v>219</v>
      </c>
      <c r="W38" s="2" t="s">
        <v>220</v>
      </c>
    </row>
    <row r="39" customFormat="false" ht="15" hidden="false" customHeight="false" outlineLevel="0" collapsed="false">
      <c r="A39" s="2" t="s">
        <v>436</v>
      </c>
      <c r="B39" s="2" t="s">
        <v>437</v>
      </c>
      <c r="C39" s="2" t="s">
        <v>438</v>
      </c>
      <c r="D39" s="2" t="s">
        <v>79</v>
      </c>
      <c r="E39" s="2" t="s">
        <v>116</v>
      </c>
      <c r="F39" s="2" t="s">
        <v>415</v>
      </c>
      <c r="G39" s="2" t="n">
        <v>350</v>
      </c>
      <c r="H39" s="2" t="n">
        <v>55</v>
      </c>
      <c r="I39" s="2" t="n">
        <v>220</v>
      </c>
      <c r="J39" s="2" t="n">
        <v>18</v>
      </c>
      <c r="K39" s="2" t="n">
        <v>5</v>
      </c>
      <c r="L39" s="2" t="n">
        <v>25</v>
      </c>
      <c r="M39" s="2" t="n">
        <v>10</v>
      </c>
      <c r="N39" s="2" t="n">
        <v>5</v>
      </c>
      <c r="O39" s="2" t="n">
        <v>1600</v>
      </c>
      <c r="P39" s="5" t="b">
        <f aca="false">FALSE()</f>
        <v>0</v>
      </c>
      <c r="Q39" s="2" t="n">
        <v>2</v>
      </c>
      <c r="R39" s="2" t="s">
        <v>439</v>
      </c>
      <c r="S39" s="2" t="s">
        <v>440</v>
      </c>
      <c r="T39" s="2" t="s">
        <v>441</v>
      </c>
      <c r="U39" s="2" t="s">
        <v>218</v>
      </c>
      <c r="V39" s="2" t="s">
        <v>219</v>
      </c>
      <c r="W39" s="2" t="s">
        <v>220</v>
      </c>
    </row>
    <row r="40" customFormat="false" ht="15" hidden="false" customHeight="false" outlineLevel="0" collapsed="false">
      <c r="A40" s="2" t="s">
        <v>442</v>
      </c>
      <c r="B40" s="2" t="s">
        <v>443</v>
      </c>
      <c r="C40" s="2" t="s">
        <v>444</v>
      </c>
      <c r="D40" s="2" t="s">
        <v>79</v>
      </c>
      <c r="E40" s="2" t="s">
        <v>116</v>
      </c>
      <c r="F40" s="2" t="s">
        <v>214</v>
      </c>
      <c r="G40" s="2" t="n">
        <v>380</v>
      </c>
      <c r="H40" s="2" t="n">
        <v>55</v>
      </c>
      <c r="I40" s="2" t="n">
        <v>640</v>
      </c>
      <c r="J40" s="2" t="n">
        <v>26</v>
      </c>
      <c r="K40" s="2" t="n">
        <v>32</v>
      </c>
      <c r="L40" s="2" t="n">
        <v>62</v>
      </c>
      <c r="M40" s="2" t="n">
        <v>10</v>
      </c>
      <c r="N40" s="2" t="n">
        <v>3</v>
      </c>
      <c r="O40" s="2" t="n">
        <v>1450</v>
      </c>
      <c r="P40" s="5" t="b">
        <f aca="false">FALSE()</f>
        <v>0</v>
      </c>
      <c r="Q40" s="2" t="n">
        <v>1</v>
      </c>
      <c r="R40" s="2" t="s">
        <v>445</v>
      </c>
      <c r="S40" s="2" t="s">
        <v>446</v>
      </c>
      <c r="T40" s="2" t="s">
        <v>447</v>
      </c>
      <c r="U40" s="2" t="s">
        <v>218</v>
      </c>
      <c r="V40" s="2" t="s">
        <v>219</v>
      </c>
      <c r="W40" s="2" t="s">
        <v>220</v>
      </c>
    </row>
    <row r="41" customFormat="false" ht="15" hidden="false" customHeight="false" outlineLevel="0" collapsed="false">
      <c r="A41" s="2" t="s">
        <v>448</v>
      </c>
      <c r="B41" s="2" t="s">
        <v>449</v>
      </c>
      <c r="C41" s="2" t="s">
        <v>450</v>
      </c>
      <c r="D41" s="2" t="s">
        <v>79</v>
      </c>
      <c r="E41" s="2" t="s">
        <v>104</v>
      </c>
      <c r="F41" s="2" t="s">
        <v>214</v>
      </c>
      <c r="G41" s="2" t="n">
        <v>200</v>
      </c>
      <c r="H41" s="2" t="n">
        <v>40</v>
      </c>
      <c r="I41" s="2" t="n">
        <v>160</v>
      </c>
      <c r="J41" s="2" t="n">
        <v>6</v>
      </c>
      <c r="K41" s="2" t="n">
        <v>10</v>
      </c>
      <c r="L41" s="2" t="n">
        <v>14</v>
      </c>
      <c r="M41" s="2" t="n">
        <v>5</v>
      </c>
      <c r="N41" s="2" t="n">
        <v>5</v>
      </c>
      <c r="O41" s="2" t="n">
        <v>900</v>
      </c>
      <c r="P41" s="5" t="b">
        <f aca="false">TRUE()</f>
        <v>1</v>
      </c>
      <c r="Q41" s="2" t="n">
        <v>0</v>
      </c>
      <c r="R41" s="2" t="s">
        <v>451</v>
      </c>
      <c r="S41" s="2" t="s">
        <v>452</v>
      </c>
      <c r="T41" s="2" t="s">
        <v>453</v>
      </c>
      <c r="U41" s="2" t="s">
        <v>218</v>
      </c>
      <c r="V41" s="2" t="s">
        <v>219</v>
      </c>
      <c r="W41" s="2" t="s">
        <v>220</v>
      </c>
    </row>
    <row r="42" customFormat="false" ht="15" hidden="false" customHeight="false" outlineLevel="0" collapsed="false">
      <c r="A42" s="2" t="s">
        <v>454</v>
      </c>
      <c r="B42" s="2" t="s">
        <v>455</v>
      </c>
      <c r="C42" s="2" t="s">
        <v>456</v>
      </c>
      <c r="D42" s="2" t="s">
        <v>79</v>
      </c>
      <c r="E42" s="2" t="s">
        <v>104</v>
      </c>
      <c r="F42" s="2" t="s">
        <v>214</v>
      </c>
      <c r="G42" s="2" t="n">
        <v>180</v>
      </c>
      <c r="H42" s="2" t="n">
        <v>40</v>
      </c>
      <c r="I42" s="2" t="n">
        <v>150</v>
      </c>
      <c r="J42" s="2" t="n">
        <v>5</v>
      </c>
      <c r="K42" s="2" t="n">
        <v>10</v>
      </c>
      <c r="L42" s="2" t="n">
        <v>12</v>
      </c>
      <c r="M42" s="2" t="n">
        <v>4</v>
      </c>
      <c r="N42" s="2" t="n">
        <v>4</v>
      </c>
      <c r="O42" s="2" t="n">
        <v>950</v>
      </c>
      <c r="P42" s="5" t="b">
        <f aca="false">TRUE()</f>
        <v>1</v>
      </c>
      <c r="Q42" s="2" t="n">
        <v>1</v>
      </c>
      <c r="R42" s="2" t="s">
        <v>451</v>
      </c>
      <c r="S42" s="2" t="s">
        <v>457</v>
      </c>
      <c r="T42" s="2" t="s">
        <v>458</v>
      </c>
      <c r="U42" s="2" t="s">
        <v>218</v>
      </c>
      <c r="V42" s="2" t="s">
        <v>219</v>
      </c>
      <c r="W42" s="2" t="s">
        <v>220</v>
      </c>
    </row>
    <row r="43" customFormat="false" ht="15" hidden="false" customHeight="false" outlineLevel="0" collapsed="false">
      <c r="A43" s="2" t="s">
        <v>459</v>
      </c>
      <c r="B43" s="2" t="s">
        <v>460</v>
      </c>
      <c r="C43" s="2" t="s">
        <v>461</v>
      </c>
      <c r="D43" s="2" t="s">
        <v>85</v>
      </c>
      <c r="E43" s="2" t="s">
        <v>119</v>
      </c>
      <c r="F43" s="2" t="s">
        <v>462</v>
      </c>
      <c r="G43" s="2" t="n">
        <v>350</v>
      </c>
      <c r="H43" s="2" t="n">
        <v>30</v>
      </c>
      <c r="I43" s="2" t="n">
        <v>280</v>
      </c>
      <c r="J43" s="2" t="n">
        <v>4</v>
      </c>
      <c r="K43" s="2" t="n">
        <v>8</v>
      </c>
      <c r="L43" s="2" t="n">
        <v>48</v>
      </c>
      <c r="M43" s="2" t="n">
        <v>44</v>
      </c>
      <c r="N43" s="2" t="n">
        <v>0</v>
      </c>
      <c r="O43" s="2" t="n">
        <v>100</v>
      </c>
      <c r="P43" s="5" t="b">
        <f aca="false">TRUE()</f>
        <v>1</v>
      </c>
      <c r="Q43" s="2" t="n">
        <v>0</v>
      </c>
      <c r="R43" s="2" t="s">
        <v>463</v>
      </c>
      <c r="S43" s="2" t="s">
        <v>464</v>
      </c>
      <c r="T43" s="2" t="s">
        <v>465</v>
      </c>
      <c r="U43" s="2" t="s">
        <v>218</v>
      </c>
      <c r="V43" s="2" t="s">
        <v>219</v>
      </c>
      <c r="W43" s="2" t="s">
        <v>220</v>
      </c>
    </row>
    <row r="44" customFormat="false" ht="15" hidden="false" customHeight="false" outlineLevel="0" collapsed="false">
      <c r="A44" s="2" t="s">
        <v>466</v>
      </c>
      <c r="B44" s="2" t="s">
        <v>467</v>
      </c>
      <c r="C44" s="2" t="s">
        <v>468</v>
      </c>
      <c r="D44" s="2" t="s">
        <v>85</v>
      </c>
      <c r="E44" s="2" t="s">
        <v>119</v>
      </c>
      <c r="F44" s="2" t="s">
        <v>462</v>
      </c>
      <c r="G44" s="2" t="n">
        <v>350</v>
      </c>
      <c r="H44" s="2" t="n">
        <v>35</v>
      </c>
      <c r="I44" s="2" t="n">
        <v>250</v>
      </c>
      <c r="J44" s="2" t="n">
        <v>3</v>
      </c>
      <c r="K44" s="2" t="n">
        <v>7</v>
      </c>
      <c r="L44" s="2" t="n">
        <v>44</v>
      </c>
      <c r="M44" s="2" t="n">
        <v>40</v>
      </c>
      <c r="N44" s="2" t="n">
        <v>0</v>
      </c>
      <c r="O44" s="2" t="n">
        <v>80</v>
      </c>
      <c r="P44" s="5" t="b">
        <f aca="false">TRUE()</f>
        <v>1</v>
      </c>
      <c r="Q44" s="2" t="n">
        <v>0</v>
      </c>
      <c r="R44" s="2" t="s">
        <v>469</v>
      </c>
      <c r="S44" s="2" t="s">
        <v>470</v>
      </c>
      <c r="T44" s="2" t="s">
        <v>471</v>
      </c>
      <c r="U44" s="2" t="s">
        <v>218</v>
      </c>
      <c r="V44" s="2" t="s">
        <v>219</v>
      </c>
      <c r="W44" s="2" t="s">
        <v>220</v>
      </c>
    </row>
    <row r="45" customFormat="false" ht="15" hidden="false" customHeight="false" outlineLevel="0" collapsed="false">
      <c r="A45" s="2" t="s">
        <v>472</v>
      </c>
      <c r="B45" s="2" t="s">
        <v>473</v>
      </c>
      <c r="C45" s="2" t="s">
        <v>474</v>
      </c>
      <c r="D45" s="2" t="s">
        <v>85</v>
      </c>
      <c r="E45" s="2" t="s">
        <v>119</v>
      </c>
      <c r="F45" s="2" t="s">
        <v>462</v>
      </c>
      <c r="G45" s="2" t="n">
        <v>350</v>
      </c>
      <c r="H45" s="2" t="n">
        <v>25</v>
      </c>
      <c r="I45" s="2" t="n">
        <v>160</v>
      </c>
      <c r="J45" s="2" t="n">
        <v>0</v>
      </c>
      <c r="K45" s="2" t="n">
        <v>0</v>
      </c>
      <c r="L45" s="2" t="n">
        <v>40</v>
      </c>
      <c r="M45" s="2" t="n">
        <v>38</v>
      </c>
      <c r="N45" s="2" t="n">
        <v>0</v>
      </c>
      <c r="O45" s="2" t="n">
        <v>40</v>
      </c>
      <c r="P45" s="5" t="b">
        <f aca="false">TRUE()</f>
        <v>1</v>
      </c>
      <c r="Q45" s="2" t="n">
        <v>0</v>
      </c>
      <c r="R45" s="2" t="s">
        <v>469</v>
      </c>
      <c r="S45" s="2" t="s">
        <v>475</v>
      </c>
      <c r="T45" s="2" t="s">
        <v>476</v>
      </c>
      <c r="U45" s="2" t="s">
        <v>218</v>
      </c>
      <c r="V45" s="2" t="s">
        <v>219</v>
      </c>
      <c r="W45" s="2" t="s">
        <v>220</v>
      </c>
    </row>
    <row r="46" customFormat="false" ht="15" hidden="false" customHeight="false" outlineLevel="0" collapsed="false">
      <c r="A46" s="2" t="s">
        <v>477</v>
      </c>
      <c r="B46" s="2" t="s">
        <v>478</v>
      </c>
      <c r="C46" s="2" t="s">
        <v>479</v>
      </c>
      <c r="D46" s="2" t="s">
        <v>85</v>
      </c>
      <c r="E46" s="2" t="s">
        <v>119</v>
      </c>
      <c r="F46" s="2" t="s">
        <v>480</v>
      </c>
      <c r="G46" s="2" t="n">
        <v>500</v>
      </c>
      <c r="H46" s="2" t="n">
        <v>10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2</v>
      </c>
      <c r="P46" s="5" t="b">
        <f aca="false">TRUE()</f>
        <v>1</v>
      </c>
      <c r="Q46" s="2" t="n">
        <v>0</v>
      </c>
      <c r="R46" s="2" t="s">
        <v>481</v>
      </c>
      <c r="S46" s="2" t="s">
        <v>482</v>
      </c>
      <c r="T46" s="2" t="s">
        <v>483</v>
      </c>
      <c r="U46" s="2" t="s">
        <v>218</v>
      </c>
      <c r="V46" s="2" t="s">
        <v>219</v>
      </c>
      <c r="W46" s="2" t="s">
        <v>220</v>
      </c>
    </row>
    <row r="47" customFormat="false" ht="15" hidden="false" customHeight="false" outlineLevel="0" collapsed="false">
      <c r="A47" s="2" t="s">
        <v>484</v>
      </c>
      <c r="B47" s="2" t="s">
        <v>485</v>
      </c>
      <c r="C47" s="2" t="s">
        <v>486</v>
      </c>
      <c r="D47" s="2" t="s">
        <v>85</v>
      </c>
      <c r="E47" s="2" t="s">
        <v>119</v>
      </c>
      <c r="F47" s="2" t="s">
        <v>480</v>
      </c>
      <c r="G47" s="2" t="n">
        <v>300</v>
      </c>
      <c r="H47" s="2" t="n">
        <v>20</v>
      </c>
      <c r="I47" s="2" t="n">
        <v>120</v>
      </c>
      <c r="J47" s="2" t="n">
        <v>7</v>
      </c>
      <c r="K47" s="2" t="n">
        <v>4</v>
      </c>
      <c r="L47" s="2" t="n">
        <v>15</v>
      </c>
      <c r="M47" s="2" t="n">
        <v>9</v>
      </c>
      <c r="N47" s="2" t="n">
        <v>1</v>
      </c>
      <c r="O47" s="2" t="n">
        <v>90</v>
      </c>
      <c r="P47" s="5" t="b">
        <f aca="false">TRUE()</f>
        <v>1</v>
      </c>
      <c r="Q47" s="2" t="n">
        <v>0</v>
      </c>
      <c r="R47" s="2" t="s">
        <v>487</v>
      </c>
      <c r="S47" s="2" t="s">
        <v>488</v>
      </c>
      <c r="T47" s="2" t="s">
        <v>489</v>
      </c>
      <c r="U47" s="2" t="s">
        <v>218</v>
      </c>
      <c r="V47" s="2" t="s">
        <v>219</v>
      </c>
      <c r="W47" s="2" t="s">
        <v>220</v>
      </c>
    </row>
    <row r="48" customFormat="false" ht="15" hidden="false" customHeight="false" outlineLevel="0" collapsed="false">
      <c r="A48" s="2" t="s">
        <v>490</v>
      </c>
      <c r="B48" s="2" t="s">
        <v>491</v>
      </c>
      <c r="C48" s="2" t="s">
        <v>492</v>
      </c>
      <c r="D48" s="2" t="s">
        <v>91</v>
      </c>
      <c r="E48" s="2" t="s">
        <v>122</v>
      </c>
      <c r="F48" s="2" t="s">
        <v>214</v>
      </c>
      <c r="G48" s="2" t="n">
        <v>250</v>
      </c>
      <c r="H48" s="2" t="n">
        <v>60</v>
      </c>
      <c r="I48" s="2" t="n">
        <v>480</v>
      </c>
      <c r="J48" s="2" t="n">
        <v>6</v>
      </c>
      <c r="K48" s="2" t="n">
        <v>16</v>
      </c>
      <c r="L48" s="2" t="n">
        <v>78</v>
      </c>
      <c r="M48" s="2" t="n">
        <v>48</v>
      </c>
      <c r="N48" s="2" t="n">
        <v>3</v>
      </c>
      <c r="O48" s="2" t="n">
        <v>180</v>
      </c>
      <c r="P48" s="5" t="b">
        <f aca="false">TRUE()</f>
        <v>1</v>
      </c>
      <c r="Q48" s="2" t="n">
        <v>0</v>
      </c>
      <c r="R48" s="2" t="s">
        <v>493</v>
      </c>
      <c r="S48" s="2" t="s">
        <v>494</v>
      </c>
      <c r="T48" s="2" t="s">
        <v>495</v>
      </c>
      <c r="U48" s="2" t="s">
        <v>218</v>
      </c>
      <c r="V48" s="2" t="s">
        <v>219</v>
      </c>
      <c r="W48" s="2" t="s">
        <v>220</v>
      </c>
    </row>
    <row r="49" customFormat="false" ht="15" hidden="false" customHeight="false" outlineLevel="0" collapsed="false">
      <c r="A49" s="2" t="s">
        <v>496</v>
      </c>
      <c r="B49" s="2" t="s">
        <v>497</v>
      </c>
      <c r="C49" s="2" t="s">
        <v>498</v>
      </c>
      <c r="D49" s="2" t="s">
        <v>91</v>
      </c>
      <c r="E49" s="2" t="s">
        <v>122</v>
      </c>
      <c r="F49" s="2" t="s">
        <v>499</v>
      </c>
      <c r="G49" s="2" t="n">
        <v>200</v>
      </c>
      <c r="H49" s="2" t="n">
        <v>25</v>
      </c>
      <c r="I49" s="2" t="n">
        <v>90</v>
      </c>
      <c r="J49" s="2" t="n">
        <v>1</v>
      </c>
      <c r="K49" s="2" t="n">
        <v>0.3</v>
      </c>
      <c r="L49" s="2" t="n">
        <v>22</v>
      </c>
      <c r="M49" s="2" t="n">
        <v>18</v>
      </c>
      <c r="N49" s="2" t="n">
        <v>4</v>
      </c>
      <c r="O49" s="2" t="n">
        <v>5</v>
      </c>
      <c r="P49" s="5" t="b">
        <f aca="false">TRUE()</f>
        <v>1</v>
      </c>
      <c r="Q49" s="2" t="n">
        <v>0</v>
      </c>
      <c r="R49" s="2" t="s">
        <v>500</v>
      </c>
      <c r="S49" s="2" t="s">
        <v>501</v>
      </c>
      <c r="T49" s="2" t="s">
        <v>502</v>
      </c>
      <c r="U49" s="2" t="s">
        <v>218</v>
      </c>
      <c r="V49" s="2" t="s">
        <v>219</v>
      </c>
      <c r="W49" s="2" t="s">
        <v>220</v>
      </c>
    </row>
    <row r="50" customFormat="false" ht="15" hidden="false" customHeight="false" outlineLevel="0" collapsed="false">
      <c r="A50" s="2" t="s">
        <v>503</v>
      </c>
      <c r="B50" s="2" t="s">
        <v>504</v>
      </c>
      <c r="C50" s="2" t="s">
        <v>505</v>
      </c>
      <c r="D50" s="2" t="s">
        <v>97</v>
      </c>
      <c r="E50" s="2" t="s">
        <v>116</v>
      </c>
      <c r="F50" s="2" t="s">
        <v>214</v>
      </c>
      <c r="G50" s="2" t="n">
        <v>160</v>
      </c>
      <c r="H50" s="2" t="n">
        <v>10</v>
      </c>
      <c r="I50" s="2" t="n">
        <v>208</v>
      </c>
      <c r="J50" s="2" t="n">
        <v>4.3</v>
      </c>
      <c r="K50" s="2" t="n">
        <v>0.4</v>
      </c>
      <c r="L50" s="2" t="n">
        <v>46</v>
      </c>
      <c r="M50" s="2" t="n">
        <v>0</v>
      </c>
      <c r="N50" s="2" t="n">
        <v>0.6</v>
      </c>
      <c r="O50" s="2" t="n">
        <v>2</v>
      </c>
      <c r="P50" s="5" t="b">
        <f aca="false">TRUE()</f>
        <v>1</v>
      </c>
      <c r="Q50" s="2" t="n">
        <v>0</v>
      </c>
      <c r="R50" s="2" t="s">
        <v>506</v>
      </c>
      <c r="S50" s="2" t="s">
        <v>507</v>
      </c>
      <c r="T50" s="2" t="s">
        <v>508</v>
      </c>
      <c r="U50" s="2" t="s">
        <v>218</v>
      </c>
      <c r="V50" s="2" t="s">
        <v>219</v>
      </c>
      <c r="W50" s="2" t="s">
        <v>220</v>
      </c>
    </row>
  </sheetData>
  <dataValidations count="6"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D2:D50" type="list">
      <formula1>categories!$A$2:$A$9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E2:E50" type="list">
      <formula1>vendor_types!$A$2:$A$8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V2:V50" type="list">
      <formula1>"PENDING,VERIFIED,REJECTED"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U2:U50" type="list">
      <formula1>sources!$A$2:$A$18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P2:P50" type="list">
      <formula1>"TRUE,FALSE"</formula1>
      <formula2>0</formula2>
    </dataValidation>
    <dataValidation allowBlank="false" errorStyle="stop" operator="between" showDropDown="false" showErrorMessage="false" showInputMessage="false" sqref="Q2:Q50" type="whole">
      <formula1>0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52.6"/>
    <col collapsed="false" customWidth="true" hidden="false" outlineLevel="0" max="3" min="3" style="0" width="59.2"/>
    <col collapsed="false" customWidth="true" hidden="false" outlineLevel="0" max="4" min="4" style="0" width="10.8"/>
    <col collapsed="false" customWidth="true" hidden="false" outlineLevel="0" max="6" min="5" style="0" width="60"/>
    <col collapsed="false" customWidth="true" hidden="false" outlineLevel="0" max="7" min="7" style="0" width="24"/>
    <col collapsed="false" customWidth="true" hidden="false" outlineLevel="0" max="8" min="8" style="0" width="19.6"/>
    <col collapsed="false" customWidth="true" hidden="false" outlineLevel="0" max="9" min="9" style="0" width="18.5"/>
    <col collapsed="false" customWidth="true" hidden="false" outlineLevel="0" max="10" min="10" style="0" width="42.7"/>
    <col collapsed="false" customWidth="true" hidden="false" outlineLevel="0" max="11" min="11" style="0" width="11.9"/>
    <col collapsed="false" customWidth="true" hidden="false" outlineLevel="0" max="12" min="12" style="0" width="15.2"/>
  </cols>
  <sheetData>
    <row r="1" customFormat="false" ht="15" hidden="false" customHeight="false" outlineLevel="0" collapsed="false">
      <c r="A1" s="4" t="s">
        <v>159</v>
      </c>
      <c r="B1" s="4" t="s">
        <v>509</v>
      </c>
      <c r="C1" s="4" t="s">
        <v>510</v>
      </c>
      <c r="D1" s="4" t="s">
        <v>511</v>
      </c>
      <c r="E1" s="4" t="s">
        <v>512</v>
      </c>
      <c r="F1" s="4" t="s">
        <v>513</v>
      </c>
      <c r="G1" s="4" t="s">
        <v>514</v>
      </c>
      <c r="H1" s="4" t="s">
        <v>515</v>
      </c>
      <c r="I1" s="4" t="s">
        <v>516</v>
      </c>
      <c r="J1" s="4" t="s">
        <v>517</v>
      </c>
      <c r="K1" s="4" t="s">
        <v>518</v>
      </c>
      <c r="L1" s="4" t="s">
        <v>519</v>
      </c>
    </row>
    <row r="2" customFormat="false" ht="15" hidden="false" customHeight="false" outlineLevel="0" collapsed="false">
      <c r="A2" s="2" t="s">
        <v>166</v>
      </c>
      <c r="B2" s="2" t="s">
        <v>520</v>
      </c>
      <c r="C2" s="2" t="s">
        <v>521</v>
      </c>
      <c r="D2" s="2" t="s">
        <v>522</v>
      </c>
      <c r="E2" s="2" t="s">
        <v>523</v>
      </c>
      <c r="F2" s="2" t="s">
        <v>524</v>
      </c>
      <c r="G2" s="2" t="s">
        <v>525</v>
      </c>
      <c r="H2" s="2" t="s">
        <v>160</v>
      </c>
      <c r="I2" s="2" t="n">
        <v>4</v>
      </c>
      <c r="J2" s="2" t="s">
        <v>526</v>
      </c>
      <c r="K2" s="2" t="s">
        <v>527</v>
      </c>
      <c r="L2" s="2" t="s">
        <v>220</v>
      </c>
    </row>
    <row r="3" customFormat="false" ht="15" hidden="false" customHeight="false" outlineLevel="0" collapsed="false">
      <c r="A3" s="2" t="s">
        <v>528</v>
      </c>
      <c r="B3" s="2" t="s">
        <v>529</v>
      </c>
      <c r="C3" s="2" t="s">
        <v>530</v>
      </c>
      <c r="D3" s="2" t="s">
        <v>522</v>
      </c>
      <c r="E3" s="2" t="s">
        <v>531</v>
      </c>
      <c r="F3" s="2" t="s">
        <v>532</v>
      </c>
      <c r="G3" s="2" t="s">
        <v>533</v>
      </c>
      <c r="H3" s="2" t="s">
        <v>534</v>
      </c>
      <c r="I3" s="2" t="n">
        <v>4</v>
      </c>
      <c r="J3" s="2" t="s">
        <v>535</v>
      </c>
      <c r="K3" s="2" t="s">
        <v>527</v>
      </c>
      <c r="L3" s="2" t="s">
        <v>220</v>
      </c>
    </row>
    <row r="4" customFormat="false" ht="15" hidden="false" customHeight="false" outlineLevel="0" collapsed="false">
      <c r="A4" s="2" t="s">
        <v>199</v>
      </c>
      <c r="B4" s="2" t="s">
        <v>536</v>
      </c>
      <c r="C4" s="2" t="s">
        <v>537</v>
      </c>
      <c r="D4" s="2" t="s">
        <v>538</v>
      </c>
      <c r="E4" s="2" t="s">
        <v>539</v>
      </c>
      <c r="F4" s="2" t="s">
        <v>540</v>
      </c>
      <c r="G4" s="2" t="s">
        <v>541</v>
      </c>
      <c r="H4" s="2" t="s">
        <v>194</v>
      </c>
      <c r="I4" s="2" t="n">
        <v>5</v>
      </c>
      <c r="J4" s="2" t="s">
        <v>542</v>
      </c>
      <c r="K4" s="2" t="s">
        <v>527</v>
      </c>
      <c r="L4" s="2" t="s">
        <v>220</v>
      </c>
    </row>
    <row r="5" customFormat="false" ht="15" hidden="false" customHeight="false" outlineLevel="0" collapsed="false">
      <c r="A5" s="2" t="s">
        <v>188</v>
      </c>
      <c r="B5" s="2" t="s">
        <v>543</v>
      </c>
      <c r="C5" s="2" t="s">
        <v>544</v>
      </c>
      <c r="D5" s="2" t="s">
        <v>545</v>
      </c>
      <c r="E5" s="2" t="s">
        <v>546</v>
      </c>
      <c r="F5" s="2" t="s">
        <v>547</v>
      </c>
      <c r="G5" s="2" t="s">
        <v>548</v>
      </c>
      <c r="H5" s="2" t="s">
        <v>183</v>
      </c>
      <c r="I5" s="2" t="n">
        <v>4</v>
      </c>
      <c r="J5" s="2" t="s">
        <v>549</v>
      </c>
      <c r="K5" s="2" t="s">
        <v>527</v>
      </c>
      <c r="L5" s="2" t="s">
        <v>220</v>
      </c>
    </row>
    <row r="6" customFormat="false" ht="15" hidden="false" customHeight="false" outlineLevel="0" collapsed="false">
      <c r="A6" s="2" t="s">
        <v>173</v>
      </c>
      <c r="B6" s="2" t="s">
        <v>550</v>
      </c>
      <c r="C6" s="2" t="s">
        <v>551</v>
      </c>
      <c r="D6" s="2" t="s">
        <v>552</v>
      </c>
      <c r="E6" s="2" t="s">
        <v>553</v>
      </c>
      <c r="F6" s="2" t="s">
        <v>554</v>
      </c>
      <c r="G6" s="2" t="s">
        <v>172</v>
      </c>
      <c r="H6" s="2" t="s">
        <v>167</v>
      </c>
      <c r="I6" s="2" t="n">
        <v>3</v>
      </c>
      <c r="J6" s="2" t="s">
        <v>555</v>
      </c>
      <c r="K6" s="2" t="s">
        <v>527</v>
      </c>
      <c r="L6" s="2" t="s">
        <v>220</v>
      </c>
    </row>
    <row r="7" customFormat="false" ht="15" hidden="false" customHeight="false" outlineLevel="0" collapsed="false">
      <c r="A7" s="2" t="s">
        <v>193</v>
      </c>
      <c r="B7" s="2" t="s">
        <v>556</v>
      </c>
      <c r="C7" s="2" t="s">
        <v>557</v>
      </c>
      <c r="D7" s="2" t="s">
        <v>558</v>
      </c>
      <c r="E7" s="2" t="s">
        <v>559</v>
      </c>
      <c r="F7" s="2" t="s">
        <v>560</v>
      </c>
      <c r="G7" s="2" t="s">
        <v>561</v>
      </c>
      <c r="H7" s="2" t="s">
        <v>189</v>
      </c>
      <c r="I7" s="2" t="n">
        <v>4</v>
      </c>
      <c r="J7" s="2" t="s">
        <v>562</v>
      </c>
      <c r="K7" s="2" t="s">
        <v>527</v>
      </c>
      <c r="L7" s="2" t="s">
        <v>220</v>
      </c>
    </row>
    <row r="8" customFormat="false" ht="15" hidden="false" customHeight="false" outlineLevel="0" collapsed="false">
      <c r="A8" s="2" t="s">
        <v>182</v>
      </c>
      <c r="B8" s="2" t="s">
        <v>563</v>
      </c>
      <c r="C8" s="2" t="s">
        <v>564</v>
      </c>
      <c r="D8" s="2" t="s">
        <v>522</v>
      </c>
      <c r="E8" s="2" t="s">
        <v>565</v>
      </c>
      <c r="F8" s="2" t="s">
        <v>566</v>
      </c>
      <c r="G8" s="2" t="s">
        <v>567</v>
      </c>
      <c r="H8" s="2" t="s">
        <v>179</v>
      </c>
      <c r="I8" s="2" t="n">
        <v>3</v>
      </c>
      <c r="J8" s="2" t="s">
        <v>568</v>
      </c>
      <c r="K8" s="2" t="s">
        <v>527</v>
      </c>
      <c r="L8" s="2" t="s">
        <v>220</v>
      </c>
    </row>
    <row r="9" customFormat="false" ht="15" hidden="false" customHeight="false" outlineLevel="0" collapsed="false">
      <c r="A9" s="2" t="s">
        <v>569</v>
      </c>
      <c r="B9" s="2" t="s">
        <v>570</v>
      </c>
      <c r="C9" s="2" t="s">
        <v>571</v>
      </c>
      <c r="D9" s="2" t="s">
        <v>572</v>
      </c>
      <c r="E9" s="2" t="s">
        <v>573</v>
      </c>
      <c r="F9" s="2" t="s">
        <v>574</v>
      </c>
      <c r="G9" s="2" t="s">
        <v>575</v>
      </c>
      <c r="H9" s="2" t="s">
        <v>160</v>
      </c>
      <c r="I9" s="2" t="n">
        <v>4</v>
      </c>
      <c r="J9" s="2" t="s">
        <v>576</v>
      </c>
      <c r="K9" s="2" t="s">
        <v>527</v>
      </c>
      <c r="L9" s="2" t="s">
        <v>220</v>
      </c>
    </row>
    <row r="10" customFormat="false" ht="15" hidden="false" customHeight="false" outlineLevel="0" collapsed="false">
      <c r="A10" s="2" t="s">
        <v>178</v>
      </c>
      <c r="B10" s="2" t="s">
        <v>577</v>
      </c>
      <c r="C10" s="2" t="s">
        <v>578</v>
      </c>
      <c r="D10" s="2" t="s">
        <v>579</v>
      </c>
      <c r="E10" s="2" t="s">
        <v>580</v>
      </c>
      <c r="F10" s="2" t="s">
        <v>581</v>
      </c>
      <c r="G10" s="2" t="s">
        <v>582</v>
      </c>
      <c r="H10" s="2" t="s">
        <v>174</v>
      </c>
      <c r="I10" s="2" t="n">
        <v>5</v>
      </c>
      <c r="J10" s="2" t="s">
        <v>583</v>
      </c>
      <c r="K10" s="2" t="s">
        <v>527</v>
      </c>
      <c r="L10" s="2" t="s">
        <v>220</v>
      </c>
    </row>
    <row r="11" customFormat="false" ht="15" hidden="false" customHeight="false" outlineLevel="0" collapsed="false">
      <c r="A11" s="2" t="s">
        <v>584</v>
      </c>
      <c r="B11" s="2" t="s">
        <v>585</v>
      </c>
      <c r="C11" s="2" t="s">
        <v>586</v>
      </c>
      <c r="D11" s="2" t="s">
        <v>552</v>
      </c>
      <c r="E11" s="2" t="s">
        <v>587</v>
      </c>
      <c r="F11" s="2" t="s">
        <v>588</v>
      </c>
      <c r="G11" s="2" t="s">
        <v>172</v>
      </c>
      <c r="H11" s="2" t="s">
        <v>167</v>
      </c>
      <c r="I11" s="2" t="n">
        <v>3</v>
      </c>
      <c r="J11" s="2" t="s">
        <v>589</v>
      </c>
      <c r="K11" s="2" t="s">
        <v>527</v>
      </c>
      <c r="L11" s="2" t="s">
        <v>220</v>
      </c>
    </row>
    <row r="12" customFormat="false" ht="15" hidden="false" customHeight="false" outlineLevel="0" collapsed="false">
      <c r="A12" s="2" t="s">
        <v>590</v>
      </c>
      <c r="B12" s="2" t="s">
        <v>591</v>
      </c>
      <c r="C12" s="2" t="s">
        <v>592</v>
      </c>
      <c r="D12" s="2" t="s">
        <v>572</v>
      </c>
      <c r="E12" s="2" t="s">
        <v>593</v>
      </c>
      <c r="F12" s="2" t="s">
        <v>594</v>
      </c>
      <c r="G12" s="2" t="s">
        <v>595</v>
      </c>
      <c r="H12" s="2" t="s">
        <v>534</v>
      </c>
      <c r="I12" s="2" t="n">
        <v>4</v>
      </c>
      <c r="J12" s="2" t="s">
        <v>596</v>
      </c>
      <c r="K12" s="2" t="s">
        <v>527</v>
      </c>
      <c r="L12" s="2" t="s">
        <v>220</v>
      </c>
    </row>
    <row r="13" customFormat="false" ht="15" hidden="false" customHeight="false" outlineLevel="0" collapsed="false">
      <c r="A13" s="2" t="s">
        <v>597</v>
      </c>
      <c r="B13" s="2" t="s">
        <v>598</v>
      </c>
      <c r="C13" s="2" t="s">
        <v>599</v>
      </c>
      <c r="D13" s="2" t="s">
        <v>522</v>
      </c>
      <c r="E13" s="2" t="s">
        <v>600</v>
      </c>
      <c r="F13" s="2" t="s">
        <v>601</v>
      </c>
      <c r="G13" s="2" t="s">
        <v>602</v>
      </c>
      <c r="H13" s="2" t="s">
        <v>534</v>
      </c>
      <c r="I13" s="2" t="n">
        <v>3</v>
      </c>
      <c r="J13" s="2" t="s">
        <v>603</v>
      </c>
      <c r="K13" s="2" t="s">
        <v>527</v>
      </c>
      <c r="L13" s="2" t="s">
        <v>220</v>
      </c>
    </row>
  </sheetData>
  <dataValidations count="1"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K2:K13" type="list">
      <formula1>"DRAFT,PUBLISHED,ARCHIVED"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8"/>
    <col collapsed="false" customWidth="true" hidden="false" outlineLevel="0" max="2" min="2" style="0" width="13"/>
    <col collapsed="false" customWidth="true" hidden="false" outlineLevel="0" max="3" min="3" style="0" width="16.3"/>
    <col collapsed="false" customWidth="true" hidden="false" outlineLevel="0" max="4" min="4" style="0" width="25.1"/>
    <col collapsed="false" customWidth="true" hidden="false" outlineLevel="0" max="5" min="5" style="0" width="24"/>
    <col collapsed="false" customWidth="true" hidden="false" outlineLevel="0" max="6" min="6" style="0" width="11.9"/>
    <col collapsed="false" customWidth="true" hidden="false" outlineLevel="0" max="7" min="7" style="0" width="18.5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4" t="s">
        <v>604</v>
      </c>
      <c r="B1" s="4" t="s">
        <v>605</v>
      </c>
      <c r="C1" s="4" t="s">
        <v>606</v>
      </c>
      <c r="D1" s="4" t="s">
        <v>607</v>
      </c>
      <c r="E1" s="4" t="s">
        <v>608</v>
      </c>
      <c r="F1" s="4" t="s">
        <v>158</v>
      </c>
      <c r="G1" s="4" t="s">
        <v>609</v>
      </c>
      <c r="H1" s="4" t="s">
        <v>518</v>
      </c>
    </row>
    <row r="2" customFormat="false" ht="15" hidden="false" customHeight="false" outlineLevel="0" collapsed="false">
      <c r="A2" s="2" t="s">
        <v>610</v>
      </c>
      <c r="B2" s="2" t="s">
        <v>211</v>
      </c>
      <c r="C2" s="2" t="s">
        <v>611</v>
      </c>
      <c r="D2" s="2" t="s">
        <v>612</v>
      </c>
      <c r="E2" s="2" t="s">
        <v>613</v>
      </c>
      <c r="F2" s="2" t="s">
        <v>614</v>
      </c>
      <c r="G2" s="2" t="s">
        <v>615</v>
      </c>
      <c r="H2" s="2" t="s">
        <v>616</v>
      </c>
    </row>
    <row r="3" customFormat="false" ht="15" hidden="false" customHeight="false" outlineLevel="0" collapsed="false">
      <c r="A3" s="2" t="s">
        <v>617</v>
      </c>
      <c r="B3" s="2" t="s">
        <v>221</v>
      </c>
      <c r="C3" s="2" t="s">
        <v>611</v>
      </c>
      <c r="D3" s="2" t="s">
        <v>618</v>
      </c>
      <c r="E3" s="2" t="s">
        <v>619</v>
      </c>
      <c r="F3" s="2" t="s">
        <v>614</v>
      </c>
      <c r="G3" s="2" t="s">
        <v>620</v>
      </c>
      <c r="H3" s="2" t="s">
        <v>616</v>
      </c>
    </row>
    <row r="4" customFormat="false" ht="15" hidden="false" customHeight="false" outlineLevel="0" collapsed="false">
      <c r="A4" s="2" t="s">
        <v>621</v>
      </c>
      <c r="B4" s="2" t="s">
        <v>227</v>
      </c>
      <c r="C4" s="2" t="s">
        <v>611</v>
      </c>
      <c r="D4" s="2" t="s">
        <v>622</v>
      </c>
      <c r="E4" s="2" t="s">
        <v>623</v>
      </c>
      <c r="F4" s="2" t="s">
        <v>614</v>
      </c>
      <c r="G4" s="2" t="s">
        <v>624</v>
      </c>
      <c r="H4" s="2" t="s">
        <v>616</v>
      </c>
    </row>
    <row r="5" customFormat="false" ht="15" hidden="false" customHeight="false" outlineLevel="0" collapsed="false">
      <c r="A5" s="2" t="s">
        <v>625</v>
      </c>
      <c r="B5" s="2" t="s">
        <v>233</v>
      </c>
      <c r="C5" s="2" t="s">
        <v>611</v>
      </c>
      <c r="D5" s="2" t="s">
        <v>626</v>
      </c>
      <c r="E5" s="2" t="s">
        <v>627</v>
      </c>
      <c r="F5" s="2" t="s">
        <v>614</v>
      </c>
      <c r="G5" s="2" t="s">
        <v>628</v>
      </c>
      <c r="H5" s="2" t="s">
        <v>616</v>
      </c>
    </row>
    <row r="6" customFormat="false" ht="15" hidden="false" customHeight="false" outlineLevel="0" collapsed="false">
      <c r="A6" s="2" t="s">
        <v>629</v>
      </c>
      <c r="B6" s="2" t="s">
        <v>239</v>
      </c>
      <c r="C6" s="2" t="s">
        <v>611</v>
      </c>
      <c r="D6" s="2" t="s">
        <v>630</v>
      </c>
      <c r="E6" s="2" t="s">
        <v>631</v>
      </c>
      <c r="F6" s="2" t="s">
        <v>614</v>
      </c>
      <c r="G6" s="2" t="s">
        <v>628</v>
      </c>
      <c r="H6" s="2" t="s">
        <v>616</v>
      </c>
    </row>
    <row r="7" customFormat="false" ht="15" hidden="false" customHeight="false" outlineLevel="0" collapsed="false">
      <c r="A7" s="2" t="s">
        <v>632</v>
      </c>
      <c r="B7" s="2" t="s">
        <v>245</v>
      </c>
      <c r="C7" s="2" t="s">
        <v>611</v>
      </c>
      <c r="D7" s="2" t="s">
        <v>633</v>
      </c>
      <c r="E7" s="2" t="s">
        <v>634</v>
      </c>
      <c r="F7" s="2" t="s">
        <v>614</v>
      </c>
      <c r="G7" s="2" t="s">
        <v>628</v>
      </c>
      <c r="H7" s="2" t="s">
        <v>616</v>
      </c>
    </row>
    <row r="8" customFormat="false" ht="15" hidden="false" customHeight="false" outlineLevel="0" collapsed="false">
      <c r="A8" s="2" t="s">
        <v>635</v>
      </c>
      <c r="B8" s="2" t="s">
        <v>250</v>
      </c>
      <c r="C8" s="2" t="s">
        <v>611</v>
      </c>
      <c r="D8" s="2" t="s">
        <v>636</v>
      </c>
      <c r="E8" s="2" t="s">
        <v>637</v>
      </c>
      <c r="F8" s="2" t="s">
        <v>614</v>
      </c>
      <c r="G8" s="2" t="s">
        <v>628</v>
      </c>
      <c r="H8" s="2" t="s">
        <v>616</v>
      </c>
    </row>
    <row r="9" customFormat="false" ht="15" hidden="false" customHeight="false" outlineLevel="0" collapsed="false">
      <c r="A9" s="2" t="s">
        <v>638</v>
      </c>
      <c r="B9" s="2" t="s">
        <v>256</v>
      </c>
      <c r="C9" s="2" t="s">
        <v>611</v>
      </c>
      <c r="D9" s="2" t="s">
        <v>639</v>
      </c>
      <c r="E9" s="2" t="s">
        <v>640</v>
      </c>
      <c r="F9" s="2" t="s">
        <v>614</v>
      </c>
      <c r="G9" s="2" t="s">
        <v>628</v>
      </c>
      <c r="H9" s="2" t="s">
        <v>616</v>
      </c>
    </row>
    <row r="10" customFormat="false" ht="15" hidden="false" customHeight="false" outlineLevel="0" collapsed="false">
      <c r="A10" s="2" t="s">
        <v>641</v>
      </c>
      <c r="B10" s="2" t="s">
        <v>262</v>
      </c>
      <c r="C10" s="2" t="s">
        <v>611</v>
      </c>
      <c r="D10" s="2" t="s">
        <v>642</v>
      </c>
      <c r="E10" s="2" t="s">
        <v>643</v>
      </c>
      <c r="F10" s="2" t="s">
        <v>614</v>
      </c>
      <c r="G10" s="2" t="s">
        <v>620</v>
      </c>
      <c r="H10" s="2" t="s">
        <v>616</v>
      </c>
    </row>
    <row r="11" customFormat="false" ht="15" hidden="false" customHeight="false" outlineLevel="0" collapsed="false">
      <c r="A11" s="2" t="s">
        <v>644</v>
      </c>
      <c r="B11" s="2" t="s">
        <v>268</v>
      </c>
      <c r="C11" s="2" t="s">
        <v>611</v>
      </c>
      <c r="D11" s="2" t="s">
        <v>645</v>
      </c>
      <c r="E11" s="2" t="s">
        <v>646</v>
      </c>
      <c r="F11" s="2" t="s">
        <v>614</v>
      </c>
      <c r="G11" s="2" t="s">
        <v>647</v>
      </c>
      <c r="H11" s="2" t="s">
        <v>616</v>
      </c>
    </row>
    <row r="12" customFormat="false" ht="15" hidden="false" customHeight="false" outlineLevel="0" collapsed="false">
      <c r="A12" s="2" t="s">
        <v>648</v>
      </c>
      <c r="B12" s="2" t="s">
        <v>274</v>
      </c>
      <c r="C12" s="2" t="s">
        <v>611</v>
      </c>
      <c r="D12" s="2" t="s">
        <v>649</v>
      </c>
      <c r="E12" s="2" t="s">
        <v>650</v>
      </c>
      <c r="F12" s="2" t="s">
        <v>614</v>
      </c>
      <c r="G12" s="2" t="s">
        <v>647</v>
      </c>
      <c r="H12" s="2" t="s">
        <v>616</v>
      </c>
    </row>
    <row r="13" customFormat="false" ht="15" hidden="false" customHeight="false" outlineLevel="0" collapsed="false">
      <c r="A13" s="2" t="s">
        <v>651</v>
      </c>
      <c r="B13" s="2" t="s">
        <v>280</v>
      </c>
      <c r="C13" s="2" t="s">
        <v>611</v>
      </c>
      <c r="D13" s="2" t="s">
        <v>652</v>
      </c>
      <c r="E13" s="2" t="s">
        <v>653</v>
      </c>
      <c r="F13" s="2" t="s">
        <v>614</v>
      </c>
      <c r="G13" s="2" t="s">
        <v>620</v>
      </c>
      <c r="H13" s="2" t="s">
        <v>616</v>
      </c>
    </row>
    <row r="14" customFormat="false" ht="15" hidden="false" customHeight="false" outlineLevel="0" collapsed="false">
      <c r="A14" s="2" t="s">
        <v>654</v>
      </c>
      <c r="B14" s="2" t="s">
        <v>286</v>
      </c>
      <c r="C14" s="2" t="s">
        <v>611</v>
      </c>
      <c r="D14" s="2" t="s">
        <v>655</v>
      </c>
      <c r="E14" s="2" t="s">
        <v>656</v>
      </c>
      <c r="F14" s="2" t="s">
        <v>614</v>
      </c>
      <c r="G14" s="2" t="s">
        <v>628</v>
      </c>
      <c r="H14" s="2" t="s">
        <v>616</v>
      </c>
    </row>
    <row r="15" customFormat="false" ht="15" hidden="false" customHeight="false" outlineLevel="0" collapsed="false">
      <c r="A15" s="2" t="s">
        <v>657</v>
      </c>
      <c r="B15" s="2" t="s">
        <v>292</v>
      </c>
      <c r="C15" s="2" t="s">
        <v>611</v>
      </c>
      <c r="D15" s="2" t="s">
        <v>658</v>
      </c>
      <c r="E15" s="2" t="s">
        <v>659</v>
      </c>
      <c r="F15" s="2" t="s">
        <v>614</v>
      </c>
      <c r="G15" s="2" t="s">
        <v>620</v>
      </c>
      <c r="H15" s="2" t="s">
        <v>616</v>
      </c>
    </row>
    <row r="16" customFormat="false" ht="15" hidden="false" customHeight="false" outlineLevel="0" collapsed="false">
      <c r="A16" s="2" t="s">
        <v>660</v>
      </c>
      <c r="B16" s="2" t="s">
        <v>298</v>
      </c>
      <c r="C16" s="2" t="s">
        <v>611</v>
      </c>
      <c r="D16" s="2" t="s">
        <v>661</v>
      </c>
      <c r="E16" s="2" t="s">
        <v>662</v>
      </c>
      <c r="F16" s="2" t="s">
        <v>614</v>
      </c>
      <c r="G16" s="2" t="s">
        <v>620</v>
      </c>
      <c r="H16" s="2" t="s">
        <v>616</v>
      </c>
    </row>
    <row r="17" customFormat="false" ht="15" hidden="false" customHeight="false" outlineLevel="0" collapsed="false">
      <c r="A17" s="2" t="s">
        <v>663</v>
      </c>
      <c r="B17" s="2" t="s">
        <v>304</v>
      </c>
      <c r="C17" s="2" t="s">
        <v>611</v>
      </c>
      <c r="D17" s="2" t="s">
        <v>664</v>
      </c>
      <c r="E17" s="2" t="s">
        <v>665</v>
      </c>
      <c r="F17" s="2" t="s">
        <v>614</v>
      </c>
      <c r="G17" s="2" t="s">
        <v>647</v>
      </c>
      <c r="H17" s="2" t="s">
        <v>616</v>
      </c>
    </row>
    <row r="18" customFormat="false" ht="15" hidden="false" customHeight="false" outlineLevel="0" collapsed="false">
      <c r="A18" s="2" t="s">
        <v>666</v>
      </c>
      <c r="B18" s="2" t="s">
        <v>311</v>
      </c>
      <c r="C18" s="2" t="s">
        <v>611</v>
      </c>
      <c r="D18" s="2" t="s">
        <v>667</v>
      </c>
      <c r="E18" s="2" t="s">
        <v>668</v>
      </c>
      <c r="F18" s="2" t="s">
        <v>614</v>
      </c>
      <c r="G18" s="2" t="s">
        <v>647</v>
      </c>
      <c r="H18" s="2" t="s">
        <v>616</v>
      </c>
    </row>
    <row r="19" customFormat="false" ht="15" hidden="false" customHeight="false" outlineLevel="0" collapsed="false">
      <c r="A19" s="2" t="s">
        <v>669</v>
      </c>
      <c r="B19" s="2" t="s">
        <v>317</v>
      </c>
      <c r="C19" s="2" t="s">
        <v>611</v>
      </c>
      <c r="D19" s="2" t="s">
        <v>670</v>
      </c>
      <c r="E19" s="2" t="s">
        <v>671</v>
      </c>
      <c r="F19" s="2" t="s">
        <v>614</v>
      </c>
      <c r="G19" s="2" t="s">
        <v>672</v>
      </c>
      <c r="H19" s="2" t="s">
        <v>616</v>
      </c>
    </row>
    <row r="20" customFormat="false" ht="15" hidden="false" customHeight="false" outlineLevel="0" collapsed="false">
      <c r="A20" s="2" t="s">
        <v>673</v>
      </c>
      <c r="B20" s="2" t="s">
        <v>323</v>
      </c>
      <c r="C20" s="2" t="s">
        <v>611</v>
      </c>
      <c r="D20" s="2" t="s">
        <v>674</v>
      </c>
      <c r="E20" s="2" t="s">
        <v>675</v>
      </c>
      <c r="F20" s="2" t="s">
        <v>614</v>
      </c>
      <c r="G20" s="2" t="s">
        <v>647</v>
      </c>
      <c r="H20" s="2" t="s">
        <v>616</v>
      </c>
    </row>
    <row r="21" customFormat="false" ht="15" hidden="false" customHeight="false" outlineLevel="0" collapsed="false">
      <c r="A21" s="2" t="s">
        <v>676</v>
      </c>
      <c r="B21" s="2" t="s">
        <v>329</v>
      </c>
      <c r="C21" s="2" t="s">
        <v>611</v>
      </c>
      <c r="D21" s="2" t="s">
        <v>677</v>
      </c>
      <c r="E21" s="2" t="s">
        <v>678</v>
      </c>
      <c r="F21" s="2" t="s">
        <v>614</v>
      </c>
      <c r="G21" s="2" t="s">
        <v>620</v>
      </c>
      <c r="H21" s="2" t="s">
        <v>616</v>
      </c>
    </row>
    <row r="22" customFormat="false" ht="15" hidden="false" customHeight="false" outlineLevel="0" collapsed="false">
      <c r="A22" s="2" t="s">
        <v>679</v>
      </c>
      <c r="B22" s="2" t="s">
        <v>335</v>
      </c>
      <c r="C22" s="2" t="s">
        <v>611</v>
      </c>
      <c r="D22" s="2" t="s">
        <v>680</v>
      </c>
      <c r="E22" s="2" t="s">
        <v>681</v>
      </c>
      <c r="F22" s="2" t="s">
        <v>614</v>
      </c>
      <c r="G22" s="2" t="s">
        <v>672</v>
      </c>
      <c r="H22" s="2" t="s">
        <v>616</v>
      </c>
    </row>
    <row r="23" customFormat="false" ht="15" hidden="false" customHeight="false" outlineLevel="0" collapsed="false">
      <c r="A23" s="2" t="s">
        <v>682</v>
      </c>
      <c r="B23" s="2" t="s">
        <v>341</v>
      </c>
      <c r="C23" s="2" t="s">
        <v>611</v>
      </c>
      <c r="D23" s="2" t="s">
        <v>683</v>
      </c>
      <c r="E23" s="2" t="s">
        <v>684</v>
      </c>
      <c r="F23" s="2" t="s">
        <v>614</v>
      </c>
      <c r="G23" s="2" t="s">
        <v>624</v>
      </c>
      <c r="H23" s="2" t="s">
        <v>616</v>
      </c>
    </row>
    <row r="24" customFormat="false" ht="15" hidden="false" customHeight="false" outlineLevel="0" collapsed="false">
      <c r="A24" s="2" t="s">
        <v>685</v>
      </c>
      <c r="B24" s="2" t="s">
        <v>347</v>
      </c>
      <c r="C24" s="2" t="s">
        <v>611</v>
      </c>
      <c r="D24" s="2" t="s">
        <v>686</v>
      </c>
      <c r="E24" s="2" t="s">
        <v>687</v>
      </c>
      <c r="F24" s="2" t="s">
        <v>614</v>
      </c>
      <c r="G24" s="2" t="s">
        <v>620</v>
      </c>
      <c r="H24" s="2" t="s">
        <v>616</v>
      </c>
    </row>
    <row r="25" customFormat="false" ht="15" hidden="false" customHeight="false" outlineLevel="0" collapsed="false">
      <c r="A25" s="2" t="s">
        <v>688</v>
      </c>
      <c r="B25" s="2" t="s">
        <v>352</v>
      </c>
      <c r="C25" s="2" t="s">
        <v>611</v>
      </c>
      <c r="D25" s="2" t="s">
        <v>689</v>
      </c>
      <c r="E25" s="2" t="s">
        <v>690</v>
      </c>
      <c r="F25" s="2" t="s">
        <v>614</v>
      </c>
      <c r="G25" s="2" t="s">
        <v>628</v>
      </c>
      <c r="H25" s="2" t="s">
        <v>616</v>
      </c>
    </row>
    <row r="26" customFormat="false" ht="15" hidden="false" customHeight="false" outlineLevel="0" collapsed="false">
      <c r="A26" s="2" t="s">
        <v>691</v>
      </c>
      <c r="B26" s="2" t="s">
        <v>357</v>
      </c>
      <c r="C26" s="2" t="s">
        <v>611</v>
      </c>
      <c r="D26" s="2" t="s">
        <v>692</v>
      </c>
      <c r="E26" s="2" t="s">
        <v>693</v>
      </c>
      <c r="F26" s="2" t="s">
        <v>614</v>
      </c>
      <c r="G26" s="2" t="s">
        <v>624</v>
      </c>
      <c r="H26" s="2" t="s">
        <v>616</v>
      </c>
    </row>
    <row r="27" customFormat="false" ht="15" hidden="false" customHeight="false" outlineLevel="0" collapsed="false">
      <c r="A27" s="2" t="s">
        <v>694</v>
      </c>
      <c r="B27" s="2" t="s">
        <v>363</v>
      </c>
      <c r="C27" s="2" t="s">
        <v>611</v>
      </c>
      <c r="D27" s="2" t="s">
        <v>695</v>
      </c>
      <c r="E27" s="2" t="s">
        <v>696</v>
      </c>
      <c r="F27" s="2" t="s">
        <v>614</v>
      </c>
      <c r="G27" s="2" t="s">
        <v>624</v>
      </c>
      <c r="H27" s="2" t="s">
        <v>616</v>
      </c>
    </row>
    <row r="28" customFormat="false" ht="15" hidden="false" customHeight="false" outlineLevel="0" collapsed="false">
      <c r="A28" s="2" t="s">
        <v>697</v>
      </c>
      <c r="B28" s="2" t="s">
        <v>369</v>
      </c>
      <c r="C28" s="2" t="s">
        <v>611</v>
      </c>
      <c r="D28" s="2" t="s">
        <v>698</v>
      </c>
      <c r="E28" s="2" t="s">
        <v>699</v>
      </c>
      <c r="F28" s="2" t="s">
        <v>614</v>
      </c>
      <c r="G28" s="2" t="s">
        <v>700</v>
      </c>
      <c r="H28" s="2" t="s">
        <v>616</v>
      </c>
    </row>
    <row r="29" customFormat="false" ht="15" hidden="false" customHeight="false" outlineLevel="0" collapsed="false">
      <c r="A29" s="2" t="s">
        <v>701</v>
      </c>
      <c r="B29" s="2" t="s">
        <v>374</v>
      </c>
      <c r="C29" s="2" t="s">
        <v>611</v>
      </c>
      <c r="D29" s="2" t="s">
        <v>702</v>
      </c>
      <c r="E29" s="2" t="s">
        <v>703</v>
      </c>
      <c r="F29" s="2" t="s">
        <v>614</v>
      </c>
      <c r="G29" s="2" t="s">
        <v>620</v>
      </c>
      <c r="H29" s="2" t="s">
        <v>616</v>
      </c>
    </row>
    <row r="30" customFormat="false" ht="15" hidden="false" customHeight="false" outlineLevel="0" collapsed="false">
      <c r="A30" s="2" t="s">
        <v>704</v>
      </c>
      <c r="B30" s="2" t="s">
        <v>380</v>
      </c>
      <c r="C30" s="2" t="s">
        <v>611</v>
      </c>
      <c r="D30" s="2" t="s">
        <v>705</v>
      </c>
      <c r="E30" s="2" t="s">
        <v>706</v>
      </c>
      <c r="F30" s="2" t="s">
        <v>614</v>
      </c>
      <c r="G30" s="2" t="s">
        <v>620</v>
      </c>
      <c r="H30" s="2" t="s">
        <v>616</v>
      </c>
    </row>
    <row r="31" customFormat="false" ht="15" hidden="false" customHeight="false" outlineLevel="0" collapsed="false">
      <c r="A31" s="2" t="s">
        <v>707</v>
      </c>
      <c r="B31" s="2" t="s">
        <v>386</v>
      </c>
      <c r="C31" s="2" t="s">
        <v>611</v>
      </c>
      <c r="D31" s="2" t="s">
        <v>708</v>
      </c>
      <c r="E31" s="2" t="s">
        <v>709</v>
      </c>
      <c r="F31" s="2" t="s">
        <v>614</v>
      </c>
      <c r="G31" s="2" t="s">
        <v>620</v>
      </c>
      <c r="H31" s="2" t="s">
        <v>616</v>
      </c>
    </row>
    <row r="32" customFormat="false" ht="15" hidden="false" customHeight="false" outlineLevel="0" collapsed="false">
      <c r="A32" s="2" t="s">
        <v>710</v>
      </c>
      <c r="B32" s="2" t="s">
        <v>392</v>
      </c>
      <c r="C32" s="2" t="s">
        <v>611</v>
      </c>
      <c r="D32" s="2" t="s">
        <v>711</v>
      </c>
      <c r="E32" s="2" t="s">
        <v>712</v>
      </c>
      <c r="F32" s="2" t="s">
        <v>614</v>
      </c>
      <c r="G32" s="2" t="s">
        <v>647</v>
      </c>
      <c r="H32" s="2" t="s">
        <v>616</v>
      </c>
    </row>
    <row r="33" customFormat="false" ht="15" hidden="false" customHeight="false" outlineLevel="0" collapsed="false">
      <c r="A33" s="2" t="s">
        <v>713</v>
      </c>
      <c r="B33" s="2" t="s">
        <v>399</v>
      </c>
      <c r="C33" s="2" t="s">
        <v>611</v>
      </c>
      <c r="D33" s="2" t="s">
        <v>714</v>
      </c>
      <c r="E33" s="2" t="s">
        <v>715</v>
      </c>
      <c r="F33" s="2" t="s">
        <v>614</v>
      </c>
      <c r="G33" s="2" t="s">
        <v>620</v>
      </c>
      <c r="H33" s="2" t="s">
        <v>616</v>
      </c>
    </row>
    <row r="34" customFormat="false" ht="15" hidden="false" customHeight="false" outlineLevel="0" collapsed="false">
      <c r="A34" s="2" t="s">
        <v>716</v>
      </c>
      <c r="B34" s="2" t="s">
        <v>405</v>
      </c>
      <c r="C34" s="2" t="s">
        <v>611</v>
      </c>
      <c r="D34" s="2" t="s">
        <v>717</v>
      </c>
      <c r="E34" s="2" t="s">
        <v>718</v>
      </c>
      <c r="F34" s="2" t="s">
        <v>614</v>
      </c>
      <c r="G34" s="2" t="s">
        <v>647</v>
      </c>
      <c r="H34" s="2" t="s">
        <v>616</v>
      </c>
    </row>
    <row r="35" customFormat="false" ht="15" hidden="false" customHeight="false" outlineLevel="0" collapsed="false">
      <c r="A35" s="2" t="s">
        <v>719</v>
      </c>
      <c r="B35" s="2" t="s">
        <v>412</v>
      </c>
      <c r="C35" s="2" t="s">
        <v>611</v>
      </c>
      <c r="D35" s="2" t="s">
        <v>720</v>
      </c>
      <c r="E35" s="2" t="s">
        <v>721</v>
      </c>
      <c r="F35" s="2" t="s">
        <v>614</v>
      </c>
      <c r="G35" s="2" t="s">
        <v>620</v>
      </c>
      <c r="H35" s="2" t="s">
        <v>616</v>
      </c>
    </row>
    <row r="36" customFormat="false" ht="15" hidden="false" customHeight="false" outlineLevel="0" collapsed="false">
      <c r="A36" s="2" t="s">
        <v>722</v>
      </c>
      <c r="B36" s="2" t="s">
        <v>418</v>
      </c>
      <c r="C36" s="2" t="s">
        <v>611</v>
      </c>
      <c r="D36" s="2" t="s">
        <v>723</v>
      </c>
      <c r="E36" s="2" t="s">
        <v>724</v>
      </c>
      <c r="F36" s="2" t="s">
        <v>614</v>
      </c>
      <c r="G36" s="2" t="s">
        <v>624</v>
      </c>
      <c r="H36" s="2" t="s">
        <v>616</v>
      </c>
    </row>
    <row r="37" customFormat="false" ht="15" hidden="false" customHeight="false" outlineLevel="0" collapsed="false">
      <c r="A37" s="2" t="s">
        <v>725</v>
      </c>
      <c r="B37" s="2" t="s">
        <v>424</v>
      </c>
      <c r="C37" s="2" t="s">
        <v>611</v>
      </c>
      <c r="D37" s="2" t="s">
        <v>726</v>
      </c>
      <c r="E37" s="2" t="s">
        <v>727</v>
      </c>
      <c r="F37" s="2" t="s">
        <v>614</v>
      </c>
      <c r="G37" s="2" t="s">
        <v>620</v>
      </c>
      <c r="H37" s="2" t="s">
        <v>616</v>
      </c>
    </row>
    <row r="38" customFormat="false" ht="15" hidden="false" customHeight="false" outlineLevel="0" collapsed="false">
      <c r="A38" s="2" t="s">
        <v>728</v>
      </c>
      <c r="B38" s="2" t="s">
        <v>430</v>
      </c>
      <c r="C38" s="2" t="s">
        <v>611</v>
      </c>
      <c r="D38" s="2" t="s">
        <v>729</v>
      </c>
      <c r="E38" s="2" t="s">
        <v>730</v>
      </c>
      <c r="F38" s="2" t="s">
        <v>614</v>
      </c>
      <c r="G38" s="2" t="s">
        <v>672</v>
      </c>
      <c r="H38" s="2" t="s">
        <v>616</v>
      </c>
    </row>
    <row r="39" customFormat="false" ht="15" hidden="false" customHeight="false" outlineLevel="0" collapsed="false">
      <c r="A39" s="2" t="s">
        <v>731</v>
      </c>
      <c r="B39" s="2" t="s">
        <v>436</v>
      </c>
      <c r="C39" s="2" t="s">
        <v>611</v>
      </c>
      <c r="D39" s="2" t="s">
        <v>732</v>
      </c>
      <c r="E39" s="2" t="s">
        <v>733</v>
      </c>
      <c r="F39" s="2" t="s">
        <v>614</v>
      </c>
      <c r="G39" s="2" t="s">
        <v>620</v>
      </c>
      <c r="H39" s="2" t="s">
        <v>616</v>
      </c>
    </row>
    <row r="40" customFormat="false" ht="15" hidden="false" customHeight="false" outlineLevel="0" collapsed="false">
      <c r="A40" s="2" t="s">
        <v>734</v>
      </c>
      <c r="B40" s="2" t="s">
        <v>442</v>
      </c>
      <c r="C40" s="2" t="s">
        <v>611</v>
      </c>
      <c r="D40" s="2" t="s">
        <v>735</v>
      </c>
      <c r="E40" s="2" t="s">
        <v>736</v>
      </c>
      <c r="F40" s="2" t="s">
        <v>614</v>
      </c>
      <c r="G40" s="2" t="s">
        <v>620</v>
      </c>
      <c r="H40" s="2" t="s">
        <v>616</v>
      </c>
    </row>
    <row r="41" customFormat="false" ht="15" hidden="false" customHeight="false" outlineLevel="0" collapsed="false">
      <c r="A41" s="2" t="s">
        <v>737</v>
      </c>
      <c r="B41" s="2" t="s">
        <v>448</v>
      </c>
      <c r="C41" s="2" t="s">
        <v>611</v>
      </c>
      <c r="D41" s="2" t="s">
        <v>738</v>
      </c>
      <c r="E41" s="2" t="s">
        <v>739</v>
      </c>
      <c r="F41" s="2" t="s">
        <v>614</v>
      </c>
      <c r="G41" s="2" t="s">
        <v>647</v>
      </c>
      <c r="H41" s="2" t="s">
        <v>616</v>
      </c>
    </row>
    <row r="42" customFormat="false" ht="15" hidden="false" customHeight="false" outlineLevel="0" collapsed="false">
      <c r="A42" s="2" t="s">
        <v>740</v>
      </c>
      <c r="B42" s="2" t="s">
        <v>454</v>
      </c>
      <c r="C42" s="2" t="s">
        <v>611</v>
      </c>
      <c r="D42" s="2" t="s">
        <v>741</v>
      </c>
      <c r="E42" s="2" t="s">
        <v>742</v>
      </c>
      <c r="F42" s="2" t="s">
        <v>614</v>
      </c>
      <c r="G42" s="2" t="s">
        <v>628</v>
      </c>
      <c r="H42" s="2" t="s">
        <v>616</v>
      </c>
    </row>
    <row r="43" customFormat="false" ht="15" hidden="false" customHeight="false" outlineLevel="0" collapsed="false">
      <c r="A43" s="2" t="s">
        <v>743</v>
      </c>
      <c r="B43" s="2" t="s">
        <v>459</v>
      </c>
      <c r="C43" s="2" t="s">
        <v>611</v>
      </c>
      <c r="D43" s="2" t="s">
        <v>744</v>
      </c>
      <c r="E43" s="2" t="s">
        <v>745</v>
      </c>
      <c r="F43" s="2" t="s">
        <v>614</v>
      </c>
      <c r="G43" s="2" t="s">
        <v>620</v>
      </c>
      <c r="H43" s="2" t="s">
        <v>616</v>
      </c>
    </row>
    <row r="44" customFormat="false" ht="15" hidden="false" customHeight="false" outlineLevel="0" collapsed="false">
      <c r="A44" s="2" t="s">
        <v>746</v>
      </c>
      <c r="B44" s="2" t="s">
        <v>466</v>
      </c>
      <c r="C44" s="2" t="s">
        <v>611</v>
      </c>
      <c r="D44" s="2" t="s">
        <v>747</v>
      </c>
      <c r="E44" s="2" t="s">
        <v>748</v>
      </c>
      <c r="F44" s="2" t="s">
        <v>614</v>
      </c>
      <c r="G44" s="2" t="s">
        <v>647</v>
      </c>
      <c r="H44" s="2" t="s">
        <v>616</v>
      </c>
    </row>
    <row r="45" customFormat="false" ht="15" hidden="false" customHeight="false" outlineLevel="0" collapsed="false">
      <c r="A45" s="2" t="s">
        <v>749</v>
      </c>
      <c r="B45" s="2" t="s">
        <v>472</v>
      </c>
      <c r="C45" s="2" t="s">
        <v>611</v>
      </c>
      <c r="D45" s="2" t="s">
        <v>750</v>
      </c>
      <c r="E45" s="2" t="s">
        <v>751</v>
      </c>
      <c r="F45" s="2" t="s">
        <v>614</v>
      </c>
      <c r="G45" s="2" t="s">
        <v>624</v>
      </c>
      <c r="H45" s="2" t="s">
        <v>616</v>
      </c>
    </row>
    <row r="46" customFormat="false" ht="15" hidden="false" customHeight="false" outlineLevel="0" collapsed="false">
      <c r="A46" s="2" t="s">
        <v>752</v>
      </c>
      <c r="B46" s="2" t="s">
        <v>477</v>
      </c>
      <c r="C46" s="2" t="s">
        <v>611</v>
      </c>
      <c r="D46" s="2" t="s">
        <v>753</v>
      </c>
      <c r="E46" s="2" t="s">
        <v>754</v>
      </c>
      <c r="F46" s="2" t="s">
        <v>614</v>
      </c>
      <c r="G46" s="2" t="s">
        <v>755</v>
      </c>
      <c r="H46" s="2" t="s">
        <v>616</v>
      </c>
    </row>
    <row r="47" customFormat="false" ht="15" hidden="false" customHeight="false" outlineLevel="0" collapsed="false">
      <c r="A47" s="2" t="s">
        <v>756</v>
      </c>
      <c r="B47" s="2" t="s">
        <v>484</v>
      </c>
      <c r="C47" s="2" t="s">
        <v>611</v>
      </c>
      <c r="D47" s="2" t="s">
        <v>757</v>
      </c>
      <c r="E47" s="2" t="s">
        <v>758</v>
      </c>
      <c r="F47" s="2" t="s">
        <v>614</v>
      </c>
      <c r="G47" s="2" t="s">
        <v>672</v>
      </c>
      <c r="H47" s="2" t="s">
        <v>616</v>
      </c>
    </row>
    <row r="48" customFormat="false" ht="15" hidden="false" customHeight="false" outlineLevel="0" collapsed="false">
      <c r="A48" s="2" t="s">
        <v>759</v>
      </c>
      <c r="B48" s="2" t="s">
        <v>490</v>
      </c>
      <c r="C48" s="2" t="s">
        <v>611</v>
      </c>
      <c r="D48" s="2" t="s">
        <v>760</v>
      </c>
      <c r="E48" s="2" t="s">
        <v>761</v>
      </c>
      <c r="F48" s="2" t="s">
        <v>614</v>
      </c>
      <c r="G48" s="2" t="s">
        <v>615</v>
      </c>
      <c r="H48" s="2" t="s">
        <v>616</v>
      </c>
    </row>
    <row r="49" customFormat="false" ht="15" hidden="false" customHeight="false" outlineLevel="0" collapsed="false">
      <c r="A49" s="2" t="s">
        <v>762</v>
      </c>
      <c r="B49" s="2" t="s">
        <v>496</v>
      </c>
      <c r="C49" s="2" t="s">
        <v>611</v>
      </c>
      <c r="D49" s="2" t="s">
        <v>763</v>
      </c>
      <c r="E49" s="2" t="s">
        <v>764</v>
      </c>
      <c r="F49" s="2" t="s">
        <v>614</v>
      </c>
      <c r="G49" s="2" t="s">
        <v>615</v>
      </c>
      <c r="H49" s="2" t="s">
        <v>616</v>
      </c>
    </row>
    <row r="50" customFormat="false" ht="15" hidden="false" customHeight="false" outlineLevel="0" collapsed="false">
      <c r="A50" s="2" t="s">
        <v>765</v>
      </c>
      <c r="B50" s="2" t="s">
        <v>503</v>
      </c>
      <c r="C50" s="2" t="s">
        <v>611</v>
      </c>
      <c r="D50" s="2" t="s">
        <v>766</v>
      </c>
      <c r="E50" s="2" t="s">
        <v>767</v>
      </c>
      <c r="F50" s="2" t="s">
        <v>614</v>
      </c>
      <c r="G50" s="2" t="s">
        <v>628</v>
      </c>
      <c r="H50" s="2" t="s">
        <v>616</v>
      </c>
    </row>
    <row r="51" customFormat="false" ht="15" hidden="false" customHeight="false" outlineLevel="0" collapsed="false">
      <c r="A51" s="2" t="s">
        <v>768</v>
      </c>
      <c r="B51" s="2" t="s">
        <v>166</v>
      </c>
      <c r="C51" s="2" t="s">
        <v>769</v>
      </c>
      <c r="D51" s="2" t="s">
        <v>770</v>
      </c>
      <c r="E51" s="2"/>
      <c r="F51" s="2" t="s">
        <v>771</v>
      </c>
      <c r="G51" s="2" t="s">
        <v>772</v>
      </c>
      <c r="H51" s="2" t="s">
        <v>773</v>
      </c>
    </row>
    <row r="52" customFormat="false" ht="15" hidden="false" customHeight="false" outlineLevel="0" collapsed="false">
      <c r="A52" s="2" t="s">
        <v>774</v>
      </c>
      <c r="B52" s="2" t="s">
        <v>528</v>
      </c>
      <c r="C52" s="2" t="s">
        <v>769</v>
      </c>
      <c r="D52" s="2" t="s">
        <v>775</v>
      </c>
      <c r="E52" s="2"/>
      <c r="F52" s="2" t="s">
        <v>771</v>
      </c>
      <c r="G52" s="2" t="s">
        <v>772</v>
      </c>
      <c r="H52" s="2" t="s">
        <v>773</v>
      </c>
    </row>
    <row r="53" customFormat="false" ht="15" hidden="false" customHeight="false" outlineLevel="0" collapsed="false">
      <c r="A53" s="2" t="s">
        <v>776</v>
      </c>
      <c r="B53" s="2" t="s">
        <v>199</v>
      </c>
      <c r="C53" s="2" t="s">
        <v>769</v>
      </c>
      <c r="D53" s="2" t="s">
        <v>777</v>
      </c>
      <c r="E53" s="2"/>
      <c r="F53" s="2" t="s">
        <v>771</v>
      </c>
      <c r="G53" s="2" t="s">
        <v>772</v>
      </c>
      <c r="H53" s="2" t="s">
        <v>773</v>
      </c>
    </row>
    <row r="54" customFormat="false" ht="15" hidden="false" customHeight="false" outlineLevel="0" collapsed="false">
      <c r="A54" s="2" t="s">
        <v>778</v>
      </c>
      <c r="B54" s="2" t="s">
        <v>188</v>
      </c>
      <c r="C54" s="2" t="s">
        <v>769</v>
      </c>
      <c r="D54" s="2" t="s">
        <v>779</v>
      </c>
      <c r="E54" s="2"/>
      <c r="F54" s="2" t="s">
        <v>771</v>
      </c>
      <c r="G54" s="2" t="s">
        <v>772</v>
      </c>
      <c r="H54" s="2" t="s">
        <v>773</v>
      </c>
    </row>
    <row r="55" customFormat="false" ht="15" hidden="false" customHeight="false" outlineLevel="0" collapsed="false">
      <c r="A55" s="2" t="s">
        <v>780</v>
      </c>
      <c r="B55" s="2" t="s">
        <v>173</v>
      </c>
      <c r="C55" s="2" t="s">
        <v>769</v>
      </c>
      <c r="D55" s="2" t="s">
        <v>781</v>
      </c>
      <c r="E55" s="2"/>
      <c r="F55" s="2" t="s">
        <v>771</v>
      </c>
      <c r="G55" s="2" t="s">
        <v>772</v>
      </c>
      <c r="H55" s="2" t="s">
        <v>773</v>
      </c>
    </row>
    <row r="56" customFormat="false" ht="15" hidden="false" customHeight="false" outlineLevel="0" collapsed="false">
      <c r="A56" s="2" t="s">
        <v>782</v>
      </c>
      <c r="B56" s="2" t="s">
        <v>193</v>
      </c>
      <c r="C56" s="2" t="s">
        <v>769</v>
      </c>
      <c r="D56" s="2" t="s">
        <v>783</v>
      </c>
      <c r="E56" s="2"/>
      <c r="F56" s="2" t="s">
        <v>771</v>
      </c>
      <c r="G56" s="2" t="s">
        <v>772</v>
      </c>
      <c r="H56" s="2" t="s">
        <v>773</v>
      </c>
    </row>
    <row r="57" customFormat="false" ht="15" hidden="false" customHeight="false" outlineLevel="0" collapsed="false">
      <c r="A57" s="2" t="s">
        <v>784</v>
      </c>
      <c r="B57" s="2" t="s">
        <v>182</v>
      </c>
      <c r="C57" s="2" t="s">
        <v>769</v>
      </c>
      <c r="D57" s="2" t="s">
        <v>785</v>
      </c>
      <c r="E57" s="2"/>
      <c r="F57" s="2" t="s">
        <v>771</v>
      </c>
      <c r="G57" s="2" t="s">
        <v>772</v>
      </c>
      <c r="H57" s="2" t="s">
        <v>773</v>
      </c>
    </row>
    <row r="58" customFormat="false" ht="15" hidden="false" customHeight="false" outlineLevel="0" collapsed="false">
      <c r="A58" s="2" t="s">
        <v>786</v>
      </c>
      <c r="B58" s="2" t="s">
        <v>569</v>
      </c>
      <c r="C58" s="2" t="s">
        <v>769</v>
      </c>
      <c r="D58" s="2" t="s">
        <v>787</v>
      </c>
      <c r="E58" s="2"/>
      <c r="F58" s="2" t="s">
        <v>771</v>
      </c>
      <c r="G58" s="2" t="s">
        <v>772</v>
      </c>
      <c r="H58" s="2" t="s">
        <v>773</v>
      </c>
    </row>
    <row r="59" customFormat="false" ht="15" hidden="false" customHeight="false" outlineLevel="0" collapsed="false">
      <c r="A59" s="2" t="s">
        <v>788</v>
      </c>
      <c r="B59" s="2" t="s">
        <v>178</v>
      </c>
      <c r="C59" s="2" t="s">
        <v>769</v>
      </c>
      <c r="D59" s="2" t="s">
        <v>789</v>
      </c>
      <c r="E59" s="2"/>
      <c r="F59" s="2" t="s">
        <v>771</v>
      </c>
      <c r="G59" s="2" t="s">
        <v>772</v>
      </c>
      <c r="H59" s="2" t="s">
        <v>773</v>
      </c>
    </row>
    <row r="60" customFormat="false" ht="15" hidden="false" customHeight="false" outlineLevel="0" collapsed="false">
      <c r="A60" s="2" t="s">
        <v>790</v>
      </c>
      <c r="B60" s="2" t="s">
        <v>584</v>
      </c>
      <c r="C60" s="2" t="s">
        <v>769</v>
      </c>
      <c r="D60" s="2" t="s">
        <v>791</v>
      </c>
      <c r="E60" s="2"/>
      <c r="F60" s="2" t="s">
        <v>771</v>
      </c>
      <c r="G60" s="2" t="s">
        <v>772</v>
      </c>
      <c r="H60" s="2" t="s">
        <v>773</v>
      </c>
    </row>
    <row r="61" customFormat="false" ht="15" hidden="false" customHeight="false" outlineLevel="0" collapsed="false">
      <c r="A61" s="2" t="s">
        <v>792</v>
      </c>
      <c r="B61" s="2" t="s">
        <v>590</v>
      </c>
      <c r="C61" s="2" t="s">
        <v>769</v>
      </c>
      <c r="D61" s="2" t="s">
        <v>793</v>
      </c>
      <c r="E61" s="2"/>
      <c r="F61" s="2" t="s">
        <v>771</v>
      </c>
      <c r="G61" s="2" t="s">
        <v>772</v>
      </c>
      <c r="H61" s="2" t="s">
        <v>773</v>
      </c>
    </row>
    <row r="62" customFormat="false" ht="15" hidden="false" customHeight="false" outlineLevel="0" collapsed="false">
      <c r="A62" s="2" t="s">
        <v>794</v>
      </c>
      <c r="B62" s="2" t="s">
        <v>597</v>
      </c>
      <c r="C62" s="2" t="s">
        <v>769</v>
      </c>
      <c r="D62" s="2" t="s">
        <v>795</v>
      </c>
      <c r="E62" s="2"/>
      <c r="F62" s="2" t="s">
        <v>771</v>
      </c>
      <c r="G62" s="2" t="s">
        <v>772</v>
      </c>
      <c r="H62" s="2" t="s">
        <v>773</v>
      </c>
    </row>
  </sheetData>
  <dataValidations count="2"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H2:H62" type="list">
      <formula1>"TODO,DONE"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C2:C62" type="list">
      <formula1>"menu,article_cover"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9"/>
    <col collapsed="false" customWidth="true" hidden="false" outlineLevel="0" max="2" min="2" style="0" width="60"/>
    <col collapsed="false" customWidth="true" hidden="false" outlineLevel="0" max="3" min="3" style="0" width="14.1"/>
    <col collapsed="false" customWidth="true" hidden="false" outlineLevel="0" max="5" min="4" style="0" width="60"/>
    <col collapsed="false" customWidth="true" hidden="false" outlineLevel="0" max="6" min="6" style="0" width="48.2"/>
  </cols>
  <sheetData>
    <row r="1" customFormat="false" ht="15" hidden="false" customHeight="false" outlineLevel="0" collapsed="false">
      <c r="A1" s="4" t="s">
        <v>158</v>
      </c>
      <c r="B1" s="4" t="s">
        <v>796</v>
      </c>
      <c r="C1" s="4" t="s">
        <v>797</v>
      </c>
      <c r="D1" s="4" t="s">
        <v>798</v>
      </c>
      <c r="E1" s="4" t="s">
        <v>799</v>
      </c>
      <c r="F1" s="4" t="s">
        <v>800</v>
      </c>
    </row>
    <row r="2" customFormat="false" ht="15" hidden="false" customHeight="false" outlineLevel="0" collapsed="false">
      <c r="A2" s="2" t="s">
        <v>218</v>
      </c>
      <c r="B2" s="2" t="s">
        <v>801</v>
      </c>
      <c r="C2" s="2" t="s">
        <v>802</v>
      </c>
      <c r="D2" s="2" t="s">
        <v>803</v>
      </c>
      <c r="E2" s="2" t="s">
        <v>804</v>
      </c>
      <c r="F2" s="2" t="s">
        <v>805</v>
      </c>
    </row>
    <row r="3" customFormat="false" ht="15" hidden="false" customHeight="false" outlineLevel="0" collapsed="false">
      <c r="A3" s="2" t="s">
        <v>172</v>
      </c>
      <c r="B3" s="2" t="s">
        <v>806</v>
      </c>
      <c r="C3" s="2" t="s">
        <v>807</v>
      </c>
      <c r="D3" s="2" t="s">
        <v>808</v>
      </c>
      <c r="E3" s="2" t="s">
        <v>809</v>
      </c>
      <c r="F3" s="2" t="s">
        <v>810</v>
      </c>
    </row>
    <row r="4" customFormat="false" ht="15" hidden="false" customHeight="false" outlineLevel="0" collapsed="false">
      <c r="A4" s="2" t="s">
        <v>198</v>
      </c>
      <c r="B4" s="2" t="s">
        <v>811</v>
      </c>
      <c r="C4" s="2" t="s">
        <v>807</v>
      </c>
      <c r="D4" s="2" t="s">
        <v>812</v>
      </c>
      <c r="E4" s="2" t="s">
        <v>813</v>
      </c>
      <c r="F4" s="2" t="s">
        <v>814</v>
      </c>
    </row>
    <row r="5" customFormat="false" ht="15" hidden="false" customHeight="false" outlineLevel="0" collapsed="false">
      <c r="A5" s="2" t="s">
        <v>187</v>
      </c>
      <c r="B5" s="2" t="s">
        <v>815</v>
      </c>
      <c r="C5" s="2" t="s">
        <v>807</v>
      </c>
      <c r="D5" s="2" t="s">
        <v>816</v>
      </c>
      <c r="E5" s="2" t="s">
        <v>813</v>
      </c>
      <c r="F5" s="2" t="s">
        <v>817</v>
      </c>
    </row>
    <row r="6" customFormat="false" ht="15" hidden="false" customHeight="false" outlineLevel="0" collapsed="false">
      <c r="A6" s="2" t="s">
        <v>165</v>
      </c>
      <c r="B6" s="2" t="s">
        <v>818</v>
      </c>
      <c r="C6" s="2" t="s">
        <v>807</v>
      </c>
      <c r="D6" s="2" t="s">
        <v>819</v>
      </c>
      <c r="E6" s="2" t="s">
        <v>820</v>
      </c>
      <c r="F6" s="2" t="s">
        <v>821</v>
      </c>
    </row>
    <row r="7" customFormat="false" ht="15" hidden="false" customHeight="false" outlineLevel="0" collapsed="false">
      <c r="A7" s="2" t="s">
        <v>533</v>
      </c>
      <c r="B7" s="2" t="s">
        <v>822</v>
      </c>
      <c r="C7" s="2" t="s">
        <v>807</v>
      </c>
      <c r="D7" s="2" t="s">
        <v>823</v>
      </c>
      <c r="E7" s="2" t="s">
        <v>809</v>
      </c>
      <c r="F7" s="2" t="s">
        <v>824</v>
      </c>
    </row>
    <row r="8" customFormat="false" ht="15" hidden="false" customHeight="false" outlineLevel="0" collapsed="false">
      <c r="A8" s="2" t="s">
        <v>567</v>
      </c>
      <c r="B8" s="2" t="s">
        <v>825</v>
      </c>
      <c r="C8" s="2" t="s">
        <v>807</v>
      </c>
      <c r="D8" s="2" t="s">
        <v>826</v>
      </c>
      <c r="E8" s="2" t="s">
        <v>809</v>
      </c>
      <c r="F8" s="2" t="s">
        <v>827</v>
      </c>
    </row>
    <row r="9" customFormat="false" ht="15" hidden="false" customHeight="false" outlineLevel="0" collapsed="false">
      <c r="A9" s="2" t="s">
        <v>828</v>
      </c>
      <c r="B9" s="2" t="s">
        <v>829</v>
      </c>
      <c r="C9" s="2" t="s">
        <v>802</v>
      </c>
      <c r="D9" s="2" t="s">
        <v>830</v>
      </c>
      <c r="E9" s="2" t="s">
        <v>772</v>
      </c>
      <c r="F9" s="2" t="s">
        <v>831</v>
      </c>
    </row>
    <row r="10" customFormat="false" ht="15" hidden="false" customHeight="false" outlineLevel="0" collapsed="false">
      <c r="A10" s="2" t="s">
        <v>771</v>
      </c>
      <c r="B10" s="2" t="s">
        <v>832</v>
      </c>
      <c r="C10" s="2" t="s">
        <v>802</v>
      </c>
      <c r="D10" s="2" t="s">
        <v>833</v>
      </c>
      <c r="E10" s="2" t="s">
        <v>772</v>
      </c>
      <c r="F10" s="2" t="s">
        <v>834</v>
      </c>
    </row>
    <row r="11" customFormat="false" ht="15" hidden="false" customHeight="false" outlineLevel="0" collapsed="false">
      <c r="A11" s="2" t="s">
        <v>614</v>
      </c>
      <c r="B11" s="2" t="s">
        <v>835</v>
      </c>
      <c r="C11" s="2" t="s">
        <v>836</v>
      </c>
      <c r="D11" s="2" t="s">
        <v>837</v>
      </c>
      <c r="E11" s="2" t="s">
        <v>838</v>
      </c>
      <c r="F11" s="2" t="s">
        <v>839</v>
      </c>
    </row>
    <row r="12" customFormat="false" ht="15" hidden="false" customHeight="false" outlineLevel="0" collapsed="false">
      <c r="A12" s="2" t="s">
        <v>840</v>
      </c>
      <c r="B12" s="2" t="s">
        <v>841</v>
      </c>
      <c r="C12" s="2" t="s">
        <v>836</v>
      </c>
      <c r="D12" s="2" t="s">
        <v>842</v>
      </c>
      <c r="E12" s="2" t="s">
        <v>843</v>
      </c>
      <c r="F12" s="2" t="s">
        <v>844</v>
      </c>
    </row>
    <row r="13" customFormat="false" ht="15" hidden="false" customHeight="false" outlineLevel="0" collapsed="false">
      <c r="A13" s="2" t="s">
        <v>845</v>
      </c>
      <c r="B13" s="2" t="s">
        <v>846</v>
      </c>
      <c r="C13" s="2" t="s">
        <v>836</v>
      </c>
      <c r="D13" s="2" t="s">
        <v>847</v>
      </c>
      <c r="E13" s="2" t="s">
        <v>848</v>
      </c>
      <c r="F13" s="2" t="s">
        <v>849</v>
      </c>
    </row>
    <row r="14" customFormat="false" ht="15" hidden="false" customHeight="false" outlineLevel="0" collapsed="false">
      <c r="A14" s="2" t="s">
        <v>850</v>
      </c>
      <c r="B14" s="2" t="s">
        <v>851</v>
      </c>
      <c r="C14" s="2" t="s">
        <v>836</v>
      </c>
      <c r="D14" s="2" t="s">
        <v>852</v>
      </c>
      <c r="E14" s="2" t="s">
        <v>853</v>
      </c>
      <c r="F14" s="2" t="s">
        <v>854</v>
      </c>
    </row>
    <row r="15" customFormat="false" ht="15" hidden="false" customHeight="false" outlineLevel="0" collapsed="false">
      <c r="A15" s="2" t="s">
        <v>855</v>
      </c>
      <c r="B15" s="2" t="s">
        <v>856</v>
      </c>
      <c r="C15" s="2" t="s">
        <v>807</v>
      </c>
      <c r="D15" s="2" t="s">
        <v>857</v>
      </c>
      <c r="E15" s="2" t="s">
        <v>809</v>
      </c>
      <c r="F15" s="2" t="s">
        <v>858</v>
      </c>
    </row>
    <row r="16" customFormat="false" ht="15" hidden="false" customHeight="false" outlineLevel="0" collapsed="false">
      <c r="A16" s="2" t="s">
        <v>859</v>
      </c>
      <c r="B16" s="2" t="s">
        <v>860</v>
      </c>
      <c r="C16" s="2" t="s">
        <v>861</v>
      </c>
      <c r="D16" s="2" t="s">
        <v>862</v>
      </c>
      <c r="E16" s="2" t="s">
        <v>772</v>
      </c>
      <c r="F16" s="2" t="s">
        <v>863</v>
      </c>
    </row>
    <row r="17" customFormat="false" ht="15" hidden="false" customHeight="false" outlineLevel="0" collapsed="false">
      <c r="A17" s="2" t="s">
        <v>864</v>
      </c>
      <c r="B17" s="2" t="s">
        <v>865</v>
      </c>
      <c r="C17" s="2" t="s">
        <v>807</v>
      </c>
      <c r="D17" s="2" t="s">
        <v>866</v>
      </c>
      <c r="E17" s="2" t="s">
        <v>867</v>
      </c>
      <c r="F17" s="2" t="s">
        <v>868</v>
      </c>
    </row>
    <row r="18" customFormat="false" ht="15" hidden="false" customHeight="false" outlineLevel="0" collapsed="false">
      <c r="A18" s="2" t="s">
        <v>869</v>
      </c>
      <c r="B18" s="2" t="s">
        <v>870</v>
      </c>
      <c r="C18" s="2" t="s">
        <v>807</v>
      </c>
      <c r="D18" s="2" t="s">
        <v>871</v>
      </c>
      <c r="E18" s="2" t="s">
        <v>872</v>
      </c>
      <c r="F18" s="2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8"/>
    <col collapsed="false" customWidth="true" hidden="false" outlineLevel="0" max="2" min="2" style="0" width="10"/>
    <col collapsed="false" customWidth="true" hidden="false" outlineLevel="0" max="3" min="3" style="0" width="15.2"/>
    <col collapsed="false" customWidth="true" hidden="false" outlineLevel="0" max="4" min="4" style="0" width="26.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11.9"/>
    <col collapsed="false" customWidth="true" hidden="false" outlineLevel="0" max="10" min="9" style="0" width="16.3"/>
    <col collapsed="false" customWidth="true" hidden="false" outlineLevel="0" max="11" min="11" style="0" width="21.8"/>
    <col collapsed="false" customWidth="true" hidden="false" outlineLevel="0" max="12" min="12" style="0" width="13"/>
  </cols>
  <sheetData>
    <row r="1" customFormat="false" ht="15" hidden="false" customHeight="false" outlineLevel="0" collapsed="false">
      <c r="A1" s="4" t="s">
        <v>874</v>
      </c>
      <c r="B1" s="4" t="s">
        <v>875</v>
      </c>
      <c r="C1" s="4" t="s">
        <v>876</v>
      </c>
      <c r="D1" s="4" t="s">
        <v>877</v>
      </c>
      <c r="E1" s="4" t="s">
        <v>878</v>
      </c>
      <c r="F1" s="4" t="s">
        <v>879</v>
      </c>
      <c r="G1" s="4" t="s">
        <v>880</v>
      </c>
      <c r="H1" s="4" t="s">
        <v>881</v>
      </c>
      <c r="I1" s="4" t="s">
        <v>125</v>
      </c>
      <c r="J1" s="4" t="s">
        <v>143</v>
      </c>
      <c r="K1" s="4" t="s">
        <v>882</v>
      </c>
      <c r="L1" s="4" t="s">
        <v>883</v>
      </c>
    </row>
    <row r="2" customFormat="false" ht="15" hidden="false" customHeight="false" outlineLevel="0" collapsed="false">
      <c r="A2" s="2" t="s">
        <v>884</v>
      </c>
      <c r="B2" s="2" t="s">
        <v>885</v>
      </c>
      <c r="C2" s="2" t="s">
        <v>886</v>
      </c>
      <c r="D2" s="2" t="s">
        <v>887</v>
      </c>
      <c r="E2" s="2" t="s">
        <v>888</v>
      </c>
      <c r="F2" s="2" t="n">
        <v>2543</v>
      </c>
      <c r="G2" s="2" t="n">
        <v>181</v>
      </c>
      <c r="H2" s="2" t="n">
        <v>67</v>
      </c>
      <c r="I2" s="2" t="s">
        <v>137</v>
      </c>
      <c r="J2" s="2" t="s">
        <v>148</v>
      </c>
      <c r="K2" s="2" t="n">
        <v>100</v>
      </c>
      <c r="L2" s="2" t="s">
        <v>889</v>
      </c>
    </row>
    <row r="3" customFormat="false" ht="15" hidden="false" customHeight="false" outlineLevel="0" collapsed="false">
      <c r="A3" s="2" t="s">
        <v>890</v>
      </c>
      <c r="B3" s="2" t="s">
        <v>885</v>
      </c>
      <c r="C3" s="2" t="s">
        <v>891</v>
      </c>
      <c r="D3" s="2" t="s">
        <v>892</v>
      </c>
      <c r="E3" s="2" t="s">
        <v>893</v>
      </c>
      <c r="F3" s="2" t="n">
        <v>2548</v>
      </c>
      <c r="G3" s="2" t="n">
        <v>149</v>
      </c>
      <c r="H3" s="2" t="n">
        <v>49.3</v>
      </c>
      <c r="I3" s="2" t="s">
        <v>131</v>
      </c>
      <c r="J3" s="2" t="s">
        <v>151</v>
      </c>
      <c r="K3" s="2" t="n">
        <v>180</v>
      </c>
      <c r="L3" s="2" t="s">
        <v>889</v>
      </c>
    </row>
    <row r="4" customFormat="false" ht="15" hidden="false" customHeight="false" outlineLevel="0" collapsed="false">
      <c r="A4" s="2" t="s">
        <v>894</v>
      </c>
      <c r="B4" s="2" t="s">
        <v>885</v>
      </c>
      <c r="C4" s="2" t="s">
        <v>895</v>
      </c>
      <c r="D4" s="2" t="s">
        <v>896</v>
      </c>
      <c r="E4" s="2" t="s">
        <v>888</v>
      </c>
      <c r="F4" s="2" t="n">
        <v>2542</v>
      </c>
      <c r="G4" s="2" t="n">
        <v>166</v>
      </c>
      <c r="H4" s="2" t="n">
        <v>74.4</v>
      </c>
      <c r="I4" s="2" t="s">
        <v>131</v>
      </c>
      <c r="J4" s="2" t="s">
        <v>151</v>
      </c>
      <c r="K4" s="2" t="n">
        <v>200</v>
      </c>
      <c r="L4" s="2" t="s">
        <v>889</v>
      </c>
    </row>
    <row r="5" customFormat="false" ht="15" hidden="false" customHeight="false" outlineLevel="0" collapsed="false">
      <c r="A5" s="2" t="s">
        <v>897</v>
      </c>
      <c r="B5" s="2" t="s">
        <v>885</v>
      </c>
      <c r="C5" s="2" t="s">
        <v>898</v>
      </c>
      <c r="D5" s="2" t="s">
        <v>899</v>
      </c>
      <c r="E5" s="2" t="s">
        <v>893</v>
      </c>
      <c r="F5" s="2" t="n">
        <v>2542</v>
      </c>
      <c r="G5" s="2" t="n">
        <v>156</v>
      </c>
      <c r="H5" s="2" t="n">
        <v>58</v>
      </c>
      <c r="I5" s="2" t="s">
        <v>137</v>
      </c>
      <c r="J5" s="2" t="s">
        <v>148</v>
      </c>
      <c r="K5" s="2" t="n">
        <v>150</v>
      </c>
      <c r="L5" s="2" t="s">
        <v>889</v>
      </c>
    </row>
    <row r="6" customFormat="false" ht="15" hidden="false" customHeight="false" outlineLevel="0" collapsed="false">
      <c r="A6" s="2" t="s">
        <v>900</v>
      </c>
      <c r="B6" s="2" t="s">
        <v>885</v>
      </c>
      <c r="C6" s="2" t="s">
        <v>901</v>
      </c>
      <c r="D6" s="2" t="s">
        <v>902</v>
      </c>
      <c r="E6" s="2" t="s">
        <v>888</v>
      </c>
      <c r="F6" s="2" t="n">
        <v>2548</v>
      </c>
      <c r="G6" s="2" t="n">
        <v>182</v>
      </c>
      <c r="H6" s="2" t="n">
        <v>84.4</v>
      </c>
      <c r="I6" s="2" t="s">
        <v>131</v>
      </c>
      <c r="J6" s="2" t="s">
        <v>148</v>
      </c>
      <c r="K6" s="2" t="n">
        <v>180</v>
      </c>
      <c r="L6" s="2" t="s">
        <v>889</v>
      </c>
    </row>
    <row r="7" customFormat="false" ht="15" hidden="false" customHeight="false" outlineLevel="0" collapsed="false">
      <c r="A7" s="2" t="s">
        <v>903</v>
      </c>
      <c r="B7" s="2" t="s">
        <v>885</v>
      </c>
      <c r="C7" s="2" t="s">
        <v>904</v>
      </c>
      <c r="D7" s="2" t="s">
        <v>905</v>
      </c>
      <c r="E7" s="2" t="s">
        <v>893</v>
      </c>
      <c r="F7" s="2" t="n">
        <v>2548</v>
      </c>
      <c r="G7" s="2" t="n">
        <v>162</v>
      </c>
      <c r="H7" s="2" t="n">
        <v>46.8</v>
      </c>
      <c r="I7" s="2" t="s">
        <v>134</v>
      </c>
      <c r="J7" s="2" t="s">
        <v>148</v>
      </c>
      <c r="K7" s="2" t="n">
        <v>100</v>
      </c>
      <c r="L7" s="2" t="s">
        <v>889</v>
      </c>
    </row>
    <row r="8" customFormat="false" ht="15" hidden="false" customHeight="false" outlineLevel="0" collapsed="false">
      <c r="A8" s="2" t="s">
        <v>906</v>
      </c>
      <c r="B8" s="2" t="s">
        <v>885</v>
      </c>
      <c r="C8" s="2" t="s">
        <v>907</v>
      </c>
      <c r="D8" s="2" t="s">
        <v>908</v>
      </c>
      <c r="E8" s="2" t="s">
        <v>888</v>
      </c>
      <c r="F8" s="2" t="n">
        <v>2544</v>
      </c>
      <c r="G8" s="2" t="n">
        <v>168</v>
      </c>
      <c r="H8" s="2" t="n">
        <v>56.6</v>
      </c>
      <c r="I8" s="2" t="s">
        <v>128</v>
      </c>
      <c r="J8" s="2" t="s">
        <v>145</v>
      </c>
      <c r="K8" s="2" t="n">
        <v>120</v>
      </c>
      <c r="L8" s="2" t="s">
        <v>889</v>
      </c>
    </row>
    <row r="9" customFormat="false" ht="15" hidden="false" customHeight="false" outlineLevel="0" collapsed="false">
      <c r="A9" s="2" t="s">
        <v>909</v>
      </c>
      <c r="B9" s="2" t="s">
        <v>885</v>
      </c>
      <c r="C9" s="2" t="s">
        <v>910</v>
      </c>
      <c r="D9" s="2" t="s">
        <v>911</v>
      </c>
      <c r="E9" s="2" t="s">
        <v>893</v>
      </c>
      <c r="F9" s="2" t="n">
        <v>2548</v>
      </c>
      <c r="G9" s="2" t="n">
        <v>151</v>
      </c>
      <c r="H9" s="2" t="n">
        <v>65.7</v>
      </c>
      <c r="I9" s="2" t="s">
        <v>131</v>
      </c>
      <c r="J9" s="2" t="s">
        <v>148</v>
      </c>
      <c r="K9" s="2" t="n">
        <v>150</v>
      </c>
      <c r="L9" s="2" t="s">
        <v>889</v>
      </c>
    </row>
    <row r="10" customFormat="false" ht="15" hidden="false" customHeight="false" outlineLevel="0" collapsed="false">
      <c r="A10" s="2" t="s">
        <v>912</v>
      </c>
      <c r="B10" s="2" t="s">
        <v>885</v>
      </c>
      <c r="C10" s="2" t="s">
        <v>913</v>
      </c>
      <c r="D10" s="2" t="s">
        <v>914</v>
      </c>
      <c r="E10" s="2" t="s">
        <v>888</v>
      </c>
      <c r="F10" s="2" t="n">
        <v>2548</v>
      </c>
      <c r="G10" s="2" t="n">
        <v>165</v>
      </c>
      <c r="H10" s="2" t="n">
        <v>58.8</v>
      </c>
      <c r="I10" s="2" t="s">
        <v>137</v>
      </c>
      <c r="J10" s="2" t="s">
        <v>145</v>
      </c>
      <c r="K10" s="2" t="n">
        <v>150</v>
      </c>
      <c r="L10" s="2" t="s">
        <v>889</v>
      </c>
    </row>
    <row r="11" customFormat="false" ht="15" hidden="false" customHeight="false" outlineLevel="0" collapsed="false">
      <c r="A11" s="2" t="s">
        <v>915</v>
      </c>
      <c r="B11" s="2" t="s">
        <v>885</v>
      </c>
      <c r="C11" s="2" t="s">
        <v>916</v>
      </c>
      <c r="D11" s="2" t="s">
        <v>917</v>
      </c>
      <c r="E11" s="2" t="s">
        <v>893</v>
      </c>
      <c r="F11" s="2" t="n">
        <v>2549</v>
      </c>
      <c r="G11" s="2" t="n">
        <v>150</v>
      </c>
      <c r="H11" s="2" t="n">
        <v>60.9</v>
      </c>
      <c r="I11" s="2" t="s">
        <v>134</v>
      </c>
      <c r="J11" s="2" t="s">
        <v>145</v>
      </c>
      <c r="K11" s="2" t="n">
        <v>150</v>
      </c>
      <c r="L11" s="2" t="s">
        <v>889</v>
      </c>
    </row>
    <row r="12" customFormat="false" ht="15" hidden="false" customHeight="false" outlineLevel="0" collapsed="false">
      <c r="A12" s="2" t="s">
        <v>918</v>
      </c>
      <c r="B12" s="2" t="s">
        <v>885</v>
      </c>
      <c r="C12" s="2" t="s">
        <v>919</v>
      </c>
      <c r="D12" s="2" t="s">
        <v>920</v>
      </c>
      <c r="E12" s="2" t="s">
        <v>888</v>
      </c>
      <c r="F12" s="2" t="n">
        <v>2547</v>
      </c>
      <c r="G12" s="2" t="n">
        <v>179</v>
      </c>
      <c r="H12" s="2" t="n">
        <v>59.3</v>
      </c>
      <c r="I12" s="2" t="s">
        <v>137</v>
      </c>
      <c r="J12" s="2" t="s">
        <v>145</v>
      </c>
      <c r="K12" s="2" t="n">
        <v>200</v>
      </c>
      <c r="L12" s="2" t="s">
        <v>889</v>
      </c>
    </row>
    <row r="13" customFormat="false" ht="15" hidden="false" customHeight="false" outlineLevel="0" collapsed="false">
      <c r="A13" s="2" t="s">
        <v>921</v>
      </c>
      <c r="B13" s="2" t="s">
        <v>885</v>
      </c>
      <c r="C13" s="2" t="s">
        <v>922</v>
      </c>
      <c r="D13" s="2" t="s">
        <v>923</v>
      </c>
      <c r="E13" s="2" t="s">
        <v>893</v>
      </c>
      <c r="F13" s="2" t="n">
        <v>2547</v>
      </c>
      <c r="G13" s="2" t="n">
        <v>153</v>
      </c>
      <c r="H13" s="2" t="n">
        <v>58.6</v>
      </c>
      <c r="I13" s="2" t="s">
        <v>131</v>
      </c>
      <c r="J13" s="2" t="s">
        <v>151</v>
      </c>
      <c r="K13" s="2" t="n">
        <v>150</v>
      </c>
      <c r="L13" s="2" t="s">
        <v>889</v>
      </c>
    </row>
    <row r="14" customFormat="false" ht="15" hidden="false" customHeight="false" outlineLevel="0" collapsed="false">
      <c r="A14" s="2" t="s">
        <v>924</v>
      </c>
      <c r="B14" s="2" t="s">
        <v>885</v>
      </c>
      <c r="C14" s="2" t="s">
        <v>925</v>
      </c>
      <c r="D14" s="2" t="s">
        <v>926</v>
      </c>
      <c r="E14" s="2" t="s">
        <v>888</v>
      </c>
      <c r="F14" s="2" t="n">
        <v>2548</v>
      </c>
      <c r="G14" s="2" t="n">
        <v>169</v>
      </c>
      <c r="H14" s="2" t="n">
        <v>85.1</v>
      </c>
      <c r="I14" s="2" t="s">
        <v>131</v>
      </c>
      <c r="J14" s="2" t="s">
        <v>151</v>
      </c>
      <c r="K14" s="2" t="n">
        <v>120</v>
      </c>
      <c r="L14" s="2" t="s">
        <v>889</v>
      </c>
    </row>
    <row r="15" customFormat="false" ht="15" hidden="false" customHeight="false" outlineLevel="0" collapsed="false">
      <c r="A15" s="2" t="s">
        <v>927</v>
      </c>
      <c r="B15" s="2" t="s">
        <v>885</v>
      </c>
      <c r="C15" s="2" t="s">
        <v>928</v>
      </c>
      <c r="D15" s="2" t="s">
        <v>929</v>
      </c>
      <c r="E15" s="2" t="s">
        <v>893</v>
      </c>
      <c r="F15" s="2" t="n">
        <v>2544</v>
      </c>
      <c r="G15" s="2" t="n">
        <v>149</v>
      </c>
      <c r="H15" s="2" t="n">
        <v>50.6</v>
      </c>
      <c r="I15" s="2" t="s">
        <v>137</v>
      </c>
      <c r="J15" s="2" t="s">
        <v>148</v>
      </c>
      <c r="K15" s="2" t="n">
        <v>100</v>
      </c>
      <c r="L15" s="2" t="s">
        <v>889</v>
      </c>
    </row>
    <row r="16" customFormat="false" ht="15" hidden="false" customHeight="false" outlineLevel="0" collapsed="false">
      <c r="A16" s="2" t="s">
        <v>930</v>
      </c>
      <c r="B16" s="2" t="s">
        <v>885</v>
      </c>
      <c r="C16" s="2" t="s">
        <v>931</v>
      </c>
      <c r="D16" s="2" t="s">
        <v>932</v>
      </c>
      <c r="E16" s="2" t="s">
        <v>888</v>
      </c>
      <c r="F16" s="2" t="n">
        <v>2547</v>
      </c>
      <c r="G16" s="2" t="n">
        <v>174</v>
      </c>
      <c r="H16" s="2" t="n">
        <v>59.4</v>
      </c>
      <c r="I16" s="2" t="s">
        <v>131</v>
      </c>
      <c r="J16" s="2" t="s">
        <v>145</v>
      </c>
      <c r="K16" s="2" t="n">
        <v>150</v>
      </c>
      <c r="L16" s="2" t="s">
        <v>889</v>
      </c>
    </row>
    <row r="17" customFormat="false" ht="15" hidden="false" customHeight="false" outlineLevel="0" collapsed="false">
      <c r="A17" s="2" t="s">
        <v>933</v>
      </c>
      <c r="B17" s="2" t="s">
        <v>885</v>
      </c>
      <c r="C17" s="2" t="s">
        <v>934</v>
      </c>
      <c r="D17" s="2" t="s">
        <v>935</v>
      </c>
      <c r="E17" s="2" t="s">
        <v>893</v>
      </c>
      <c r="F17" s="2" t="n">
        <v>2543</v>
      </c>
      <c r="G17" s="2" t="n">
        <v>165</v>
      </c>
      <c r="H17" s="2" t="n">
        <v>59.7</v>
      </c>
      <c r="I17" s="2" t="s">
        <v>134</v>
      </c>
      <c r="J17" s="2" t="s">
        <v>148</v>
      </c>
      <c r="K17" s="2" t="n">
        <v>100</v>
      </c>
      <c r="L17" s="2" t="s">
        <v>889</v>
      </c>
    </row>
    <row r="18" customFormat="false" ht="15" hidden="false" customHeight="false" outlineLevel="0" collapsed="false">
      <c r="A18" s="2" t="s">
        <v>936</v>
      </c>
      <c r="B18" s="2" t="s">
        <v>885</v>
      </c>
      <c r="C18" s="2" t="s">
        <v>937</v>
      </c>
      <c r="D18" s="2" t="s">
        <v>938</v>
      </c>
      <c r="E18" s="2" t="s">
        <v>888</v>
      </c>
      <c r="F18" s="2" t="n">
        <v>2544</v>
      </c>
      <c r="G18" s="2" t="n">
        <v>184</v>
      </c>
      <c r="H18" s="2" t="n">
        <v>65</v>
      </c>
      <c r="I18" s="2" t="s">
        <v>131</v>
      </c>
      <c r="J18" s="2" t="s">
        <v>148</v>
      </c>
      <c r="K18" s="2" t="n">
        <v>180</v>
      </c>
      <c r="L18" s="2" t="s">
        <v>889</v>
      </c>
    </row>
    <row r="19" customFormat="false" ht="15" hidden="false" customHeight="false" outlineLevel="0" collapsed="false">
      <c r="A19" s="2" t="s">
        <v>939</v>
      </c>
      <c r="B19" s="2" t="s">
        <v>885</v>
      </c>
      <c r="C19" s="2" t="s">
        <v>940</v>
      </c>
      <c r="D19" s="2" t="s">
        <v>941</v>
      </c>
      <c r="E19" s="2" t="s">
        <v>893</v>
      </c>
      <c r="F19" s="2" t="n">
        <v>2549</v>
      </c>
      <c r="G19" s="2" t="n">
        <v>154</v>
      </c>
      <c r="H19" s="2" t="n">
        <v>45.6</v>
      </c>
      <c r="I19" s="2" t="s">
        <v>134</v>
      </c>
      <c r="J19" s="2" t="s">
        <v>151</v>
      </c>
      <c r="K19" s="2" t="n">
        <v>180</v>
      </c>
      <c r="L19" s="2" t="s">
        <v>889</v>
      </c>
    </row>
    <row r="20" customFormat="false" ht="15" hidden="false" customHeight="false" outlineLevel="0" collapsed="false">
      <c r="A20" s="2" t="s">
        <v>942</v>
      </c>
      <c r="B20" s="2" t="s">
        <v>885</v>
      </c>
      <c r="C20" s="2" t="s">
        <v>943</v>
      </c>
      <c r="D20" s="2" t="s">
        <v>944</v>
      </c>
      <c r="E20" s="2" t="s">
        <v>888</v>
      </c>
      <c r="F20" s="2" t="n">
        <v>2548</v>
      </c>
      <c r="G20" s="2" t="n">
        <v>180</v>
      </c>
      <c r="H20" s="2" t="n">
        <v>61</v>
      </c>
      <c r="I20" s="2" t="s">
        <v>137</v>
      </c>
      <c r="J20" s="2" t="s">
        <v>148</v>
      </c>
      <c r="K20" s="2" t="n">
        <v>150</v>
      </c>
      <c r="L20" s="2" t="s">
        <v>889</v>
      </c>
    </row>
    <row r="21" customFormat="false" ht="15" hidden="false" customHeight="false" outlineLevel="0" collapsed="false">
      <c r="A21" s="2" t="s">
        <v>945</v>
      </c>
      <c r="B21" s="2" t="s">
        <v>885</v>
      </c>
      <c r="C21" s="2" t="s">
        <v>946</v>
      </c>
      <c r="D21" s="2" t="s">
        <v>947</v>
      </c>
      <c r="E21" s="2" t="s">
        <v>893</v>
      </c>
      <c r="F21" s="2" t="n">
        <v>2545</v>
      </c>
      <c r="G21" s="2" t="n">
        <v>158</v>
      </c>
      <c r="H21" s="2" t="n">
        <v>69.6</v>
      </c>
      <c r="I21" s="2" t="s">
        <v>134</v>
      </c>
      <c r="J21" s="2" t="s">
        <v>148</v>
      </c>
      <c r="K21" s="2" t="n">
        <v>250</v>
      </c>
      <c r="L21" s="2" t="s">
        <v>889</v>
      </c>
    </row>
    <row r="22" customFormat="false" ht="15" hidden="false" customHeight="false" outlineLevel="0" collapsed="false">
      <c r="A22" s="2" t="s">
        <v>948</v>
      </c>
      <c r="B22" s="2" t="s">
        <v>885</v>
      </c>
      <c r="C22" s="2" t="s">
        <v>949</v>
      </c>
      <c r="D22" s="2" t="s">
        <v>950</v>
      </c>
      <c r="E22" s="2" t="s">
        <v>888</v>
      </c>
      <c r="F22" s="2" t="n">
        <v>2547</v>
      </c>
      <c r="G22" s="2" t="n">
        <v>182</v>
      </c>
      <c r="H22" s="2" t="n">
        <v>61.2</v>
      </c>
      <c r="I22" s="2" t="s">
        <v>131</v>
      </c>
      <c r="J22" s="2" t="s">
        <v>151</v>
      </c>
      <c r="K22" s="2" t="n">
        <v>180</v>
      </c>
      <c r="L22" s="2" t="s">
        <v>889</v>
      </c>
    </row>
    <row r="23" customFormat="false" ht="15" hidden="false" customHeight="false" outlineLevel="0" collapsed="false">
      <c r="A23" s="2" t="s">
        <v>951</v>
      </c>
      <c r="B23" s="2" t="s">
        <v>885</v>
      </c>
      <c r="C23" s="2" t="s">
        <v>952</v>
      </c>
      <c r="D23" s="2" t="s">
        <v>953</v>
      </c>
      <c r="E23" s="2" t="s">
        <v>893</v>
      </c>
      <c r="F23" s="2" t="n">
        <v>2545</v>
      </c>
      <c r="G23" s="2" t="n">
        <v>167</v>
      </c>
      <c r="H23" s="2" t="n">
        <v>63.6</v>
      </c>
      <c r="I23" s="2" t="s">
        <v>131</v>
      </c>
      <c r="J23" s="2" t="s">
        <v>148</v>
      </c>
      <c r="K23" s="2" t="n">
        <v>250</v>
      </c>
      <c r="L23" s="2" t="s">
        <v>889</v>
      </c>
    </row>
    <row r="24" customFormat="false" ht="15" hidden="false" customHeight="false" outlineLevel="0" collapsed="false">
      <c r="A24" s="2" t="s">
        <v>954</v>
      </c>
      <c r="B24" s="2" t="s">
        <v>885</v>
      </c>
      <c r="C24" s="2" t="s">
        <v>955</v>
      </c>
      <c r="D24" s="2" t="s">
        <v>956</v>
      </c>
      <c r="E24" s="2" t="s">
        <v>888</v>
      </c>
      <c r="F24" s="2" t="n">
        <v>2543</v>
      </c>
      <c r="G24" s="2" t="n">
        <v>170</v>
      </c>
      <c r="H24" s="2" t="n">
        <v>76.9</v>
      </c>
      <c r="I24" s="2" t="s">
        <v>131</v>
      </c>
      <c r="J24" s="2" t="s">
        <v>151</v>
      </c>
      <c r="K24" s="2" t="n">
        <v>250</v>
      </c>
      <c r="L24" s="2" t="s">
        <v>889</v>
      </c>
    </row>
    <row r="25" customFormat="false" ht="15" hidden="false" customHeight="false" outlineLevel="0" collapsed="false">
      <c r="A25" s="2" t="s">
        <v>957</v>
      </c>
      <c r="B25" s="2" t="s">
        <v>958</v>
      </c>
      <c r="C25" s="2" t="s">
        <v>959</v>
      </c>
      <c r="D25" s="2" t="s">
        <v>960</v>
      </c>
      <c r="E25" s="2" t="s">
        <v>893</v>
      </c>
      <c r="F25" s="2" t="n">
        <v>2542</v>
      </c>
      <c r="G25" s="2" t="n">
        <v>165</v>
      </c>
      <c r="H25" s="2" t="n">
        <v>45.8</v>
      </c>
      <c r="I25" s="2" t="s">
        <v>131</v>
      </c>
      <c r="J25" s="2" t="s">
        <v>145</v>
      </c>
      <c r="K25" s="2" t="n">
        <v>100</v>
      </c>
      <c r="L25" s="2" t="s">
        <v>889</v>
      </c>
    </row>
    <row r="26" customFormat="false" ht="15" hidden="false" customHeight="false" outlineLevel="0" collapsed="false">
      <c r="A26" s="2" t="s">
        <v>961</v>
      </c>
      <c r="B26" s="2" t="s">
        <v>962</v>
      </c>
      <c r="C26" s="2" t="s">
        <v>963</v>
      </c>
      <c r="D26" s="2" t="s">
        <v>964</v>
      </c>
      <c r="E26" s="2" t="s">
        <v>893</v>
      </c>
      <c r="F26" s="2" t="n">
        <v>2545</v>
      </c>
      <c r="G26" s="2" t="n">
        <v>149</v>
      </c>
      <c r="H26" s="2" t="n">
        <v>57.2</v>
      </c>
      <c r="I26" s="2" t="s">
        <v>128</v>
      </c>
      <c r="J26" s="2" t="s">
        <v>151</v>
      </c>
      <c r="K26" s="2" t="n">
        <v>180</v>
      </c>
      <c r="L26" s="2" t="s">
        <v>889</v>
      </c>
    </row>
  </sheetData>
  <dataValidations count="4"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B2:B26" type="list">
      <formula1>"member,editor,admin"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E2:E26" type="list">
      <formula1>"male,female"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I2:I26" type="list">
      <formula1>activity_levels!$A$2:$A$6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J2:J26" type="list">
      <formula1>health_goals!$A$2:$A$4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6"/>
    <col collapsed="false" customWidth="true" hidden="false" outlineLevel="0" max="10" min="10" style="0" width="16.3"/>
  </cols>
  <sheetData>
    <row r="1" customFormat="false" ht="15" hidden="false" customHeight="false" outlineLevel="0" collapsed="false">
      <c r="A1" s="4" t="s">
        <v>874</v>
      </c>
      <c r="B1" s="4" t="s">
        <v>965</v>
      </c>
      <c r="C1" s="4" t="s">
        <v>966</v>
      </c>
      <c r="D1" s="4" t="s">
        <v>967</v>
      </c>
      <c r="E1" s="4" t="s">
        <v>968</v>
      </c>
      <c r="F1" s="4" t="s">
        <v>969</v>
      </c>
      <c r="G1" s="4" t="s">
        <v>970</v>
      </c>
      <c r="H1" s="4" t="s">
        <v>971</v>
      </c>
      <c r="I1" s="4" t="s">
        <v>972</v>
      </c>
      <c r="J1" s="4" t="s">
        <v>973</v>
      </c>
      <c r="L1" s="3" t="s">
        <v>974</v>
      </c>
    </row>
    <row r="2" customFormat="false" ht="15" hidden="false" customHeight="false" outlineLevel="0" collapsed="false">
      <c r="A2" s="2" t="str">
        <f aca="false">users!A2</f>
        <v>user_001</v>
      </c>
      <c r="B2" s="2" t="n">
        <f aca="false">2569-users!F2</f>
        <v>26</v>
      </c>
      <c r="C2" s="2" t="n">
        <f aca="false">ROUND(10*users!H2+6.25*users!G2-5*B2+IF(users!E2="male",5,-161),0)</f>
        <v>1676</v>
      </c>
      <c r="D2" s="2" t="n">
        <f aca="false">ROUND(C2*INDEX(activity_levels!$C$2:$C$6,MATCH(users!I2,activity_levels!$A$2:$A$6,0)),0)</f>
        <v>2891</v>
      </c>
      <c r="E2" s="2" t="n">
        <f aca="false">D2+INDEX(health_goals!$C$2:$C$4,MATCH(users!J2,health_goals!$A$2:$A$4,0))</f>
        <v>2891</v>
      </c>
      <c r="F2" s="2" t="n">
        <f aca="false">ROUND(users!H2*1,0)</f>
        <v>67</v>
      </c>
      <c r="G2" s="2" t="n">
        <f aca="false">INDEX(nutrient_limits!$F$2:$F$8,MATCH("sodium_mg",nutrient_limits!$A$2:$A$8,0))</f>
        <v>2000</v>
      </c>
      <c r="H2" s="2" t="n">
        <f aca="false">INDEX(nutrient_limits!$F$2:$F$8,MATCH("sugar_g",nutrient_limits!$A$2:$A$8,0))</f>
        <v>50</v>
      </c>
      <c r="I2" s="2" t="n">
        <f aca="false">INDEX(nutrient_limits!$F$2:$F$8,MATCH("fiber_g",nutrient_limits!$A$2:$A$8,0))</f>
        <v>25</v>
      </c>
      <c r="J2" s="2" t="s">
        <v>220</v>
      </c>
      <c r="L2" s="2" t="s">
        <v>975</v>
      </c>
    </row>
    <row r="3" customFormat="false" ht="15" hidden="false" customHeight="false" outlineLevel="0" collapsed="false">
      <c r="A3" s="2" t="str">
        <f aca="false">users!A3</f>
        <v>user_002</v>
      </c>
      <c r="B3" s="2" t="n">
        <f aca="false">2569-users!F3</f>
        <v>21</v>
      </c>
      <c r="C3" s="2" t="n">
        <f aca="false">ROUND(10*users!H3+6.25*users!G3-5*B3+IF(users!E3="male",5,-161),0)</f>
        <v>1158</v>
      </c>
      <c r="D3" s="2" t="n">
        <f aca="false">ROUND(C3*INDEX(activity_levels!$C$2:$C$6,MATCH(users!I3,activity_levels!$A$2:$A$6,0)),0)</f>
        <v>1592</v>
      </c>
      <c r="E3" s="2" t="n">
        <f aca="false">D3+INDEX(health_goals!$C$2:$C$4,MATCH(users!J3,health_goals!$A$2:$A$4,0))</f>
        <v>1892</v>
      </c>
      <c r="F3" s="2" t="n">
        <f aca="false">ROUND(users!H3*1,0)</f>
        <v>49</v>
      </c>
      <c r="G3" s="2" t="n">
        <f aca="false">INDEX(nutrient_limits!$F$2:$F$8,MATCH("sodium_mg",nutrient_limits!$A$2:$A$8,0))</f>
        <v>2000</v>
      </c>
      <c r="H3" s="2" t="n">
        <f aca="false">INDEX(nutrient_limits!$F$2:$F$8,MATCH("sugar_g",nutrient_limits!$A$2:$A$8,0))</f>
        <v>50</v>
      </c>
      <c r="I3" s="2" t="n">
        <f aca="false">INDEX(nutrient_limits!$F$2:$F$8,MATCH("fiber_g",nutrient_limits!$A$2:$A$8,0))</f>
        <v>25</v>
      </c>
      <c r="J3" s="2" t="s">
        <v>220</v>
      </c>
    </row>
    <row r="4" customFormat="false" ht="15" hidden="false" customHeight="false" outlineLevel="0" collapsed="false">
      <c r="A4" s="2" t="str">
        <f aca="false">users!A4</f>
        <v>user_003</v>
      </c>
      <c r="B4" s="2" t="n">
        <f aca="false">2569-users!F4</f>
        <v>27</v>
      </c>
      <c r="C4" s="2" t="n">
        <f aca="false">ROUND(10*users!H4+6.25*users!G4-5*B4+IF(users!E4="male",5,-161),0)</f>
        <v>1652</v>
      </c>
      <c r="D4" s="2" t="n">
        <f aca="false">ROUND(C4*INDEX(activity_levels!$C$2:$C$6,MATCH(users!I4,activity_levels!$A$2:$A$6,0)),0)</f>
        <v>2272</v>
      </c>
      <c r="E4" s="2" t="n">
        <f aca="false">D4+INDEX(health_goals!$C$2:$C$4,MATCH(users!J4,health_goals!$A$2:$A$4,0))</f>
        <v>2572</v>
      </c>
      <c r="F4" s="2" t="n">
        <f aca="false">ROUND(users!H4*1,0)</f>
        <v>74</v>
      </c>
      <c r="G4" s="2" t="n">
        <f aca="false">INDEX(nutrient_limits!$F$2:$F$8,MATCH("sodium_mg",nutrient_limits!$A$2:$A$8,0))</f>
        <v>2000</v>
      </c>
      <c r="H4" s="2" t="n">
        <f aca="false">INDEX(nutrient_limits!$F$2:$F$8,MATCH("sugar_g",nutrient_limits!$A$2:$A$8,0))</f>
        <v>50</v>
      </c>
      <c r="I4" s="2" t="n">
        <f aca="false">INDEX(nutrient_limits!$F$2:$F$8,MATCH("fiber_g",nutrient_limits!$A$2:$A$8,0))</f>
        <v>25</v>
      </c>
      <c r="J4" s="2" t="s">
        <v>220</v>
      </c>
    </row>
    <row r="5" customFormat="false" ht="15" hidden="false" customHeight="false" outlineLevel="0" collapsed="false">
      <c r="A5" s="2" t="str">
        <f aca="false">users!A5</f>
        <v>user_004</v>
      </c>
      <c r="B5" s="2" t="n">
        <f aca="false">2569-users!F5</f>
        <v>27</v>
      </c>
      <c r="C5" s="2" t="n">
        <f aca="false">ROUND(10*users!H5+6.25*users!G5-5*B5+IF(users!E5="male",5,-161),0)</f>
        <v>1259</v>
      </c>
      <c r="D5" s="2" t="n">
        <f aca="false">ROUND(C5*INDEX(activity_levels!$C$2:$C$6,MATCH(users!I5,activity_levels!$A$2:$A$6,0)),0)</f>
        <v>2172</v>
      </c>
      <c r="E5" s="2" t="n">
        <f aca="false">D5+INDEX(health_goals!$C$2:$C$4,MATCH(users!J5,health_goals!$A$2:$A$4,0))</f>
        <v>2172</v>
      </c>
      <c r="F5" s="2" t="n">
        <f aca="false">ROUND(users!H5*1,0)</f>
        <v>58</v>
      </c>
      <c r="G5" s="2" t="n">
        <f aca="false">INDEX(nutrient_limits!$F$2:$F$8,MATCH("sodium_mg",nutrient_limits!$A$2:$A$8,0))</f>
        <v>2000</v>
      </c>
      <c r="H5" s="2" t="n">
        <f aca="false">INDEX(nutrient_limits!$F$2:$F$8,MATCH("sugar_g",nutrient_limits!$A$2:$A$8,0))</f>
        <v>50</v>
      </c>
      <c r="I5" s="2" t="n">
        <f aca="false">INDEX(nutrient_limits!$F$2:$F$8,MATCH("fiber_g",nutrient_limits!$A$2:$A$8,0))</f>
        <v>25</v>
      </c>
      <c r="J5" s="2" t="s">
        <v>220</v>
      </c>
    </row>
    <row r="6" customFormat="false" ht="15" hidden="false" customHeight="false" outlineLevel="0" collapsed="false">
      <c r="A6" s="2" t="str">
        <f aca="false">users!A6</f>
        <v>user_005</v>
      </c>
      <c r="B6" s="2" t="n">
        <f aca="false">2569-users!F6</f>
        <v>21</v>
      </c>
      <c r="C6" s="2" t="n">
        <f aca="false">ROUND(10*users!H6+6.25*users!G6-5*B6+IF(users!E6="male",5,-161),0)</f>
        <v>1882</v>
      </c>
      <c r="D6" s="2" t="n">
        <f aca="false">ROUND(C6*INDEX(activity_levels!$C$2:$C$6,MATCH(users!I6,activity_levels!$A$2:$A$6,0)),0)</f>
        <v>2588</v>
      </c>
      <c r="E6" s="2" t="n">
        <f aca="false">D6+INDEX(health_goals!$C$2:$C$4,MATCH(users!J6,health_goals!$A$2:$A$4,0))</f>
        <v>2588</v>
      </c>
      <c r="F6" s="2" t="n">
        <f aca="false">ROUND(users!H6*1,0)</f>
        <v>84</v>
      </c>
      <c r="G6" s="2" t="n">
        <f aca="false">INDEX(nutrient_limits!$F$2:$F$8,MATCH("sodium_mg",nutrient_limits!$A$2:$A$8,0))</f>
        <v>2000</v>
      </c>
      <c r="H6" s="2" t="n">
        <f aca="false">INDEX(nutrient_limits!$F$2:$F$8,MATCH("sugar_g",nutrient_limits!$A$2:$A$8,0))</f>
        <v>50</v>
      </c>
      <c r="I6" s="2" t="n">
        <f aca="false">INDEX(nutrient_limits!$F$2:$F$8,MATCH("fiber_g",nutrient_limits!$A$2:$A$8,0))</f>
        <v>25</v>
      </c>
      <c r="J6" s="2" t="s">
        <v>220</v>
      </c>
    </row>
    <row r="7" customFormat="false" ht="15" hidden="false" customHeight="false" outlineLevel="0" collapsed="false">
      <c r="A7" s="2" t="str">
        <f aca="false">users!A7</f>
        <v>user_006</v>
      </c>
      <c r="B7" s="2" t="n">
        <f aca="false">2569-users!F7</f>
        <v>21</v>
      </c>
      <c r="C7" s="2" t="n">
        <f aca="false">ROUND(10*users!H7+6.25*users!G7-5*B7+IF(users!E7="male",5,-161),0)</f>
        <v>1215</v>
      </c>
      <c r="D7" s="2" t="n">
        <f aca="false">ROUND(C7*INDEX(activity_levels!$C$2:$C$6,MATCH(users!I7,activity_levels!$A$2:$A$6,0)),0)</f>
        <v>1883</v>
      </c>
      <c r="E7" s="2" t="n">
        <f aca="false">D7+INDEX(health_goals!$C$2:$C$4,MATCH(users!J7,health_goals!$A$2:$A$4,0))</f>
        <v>1883</v>
      </c>
      <c r="F7" s="2" t="n">
        <f aca="false">ROUND(users!H7*1,0)</f>
        <v>47</v>
      </c>
      <c r="G7" s="2" t="n">
        <f aca="false">INDEX(nutrient_limits!$F$2:$F$8,MATCH("sodium_mg",nutrient_limits!$A$2:$A$8,0))</f>
        <v>2000</v>
      </c>
      <c r="H7" s="2" t="n">
        <f aca="false">INDEX(nutrient_limits!$F$2:$F$8,MATCH("sugar_g",nutrient_limits!$A$2:$A$8,0))</f>
        <v>50</v>
      </c>
      <c r="I7" s="2" t="n">
        <f aca="false">INDEX(nutrient_limits!$F$2:$F$8,MATCH("fiber_g",nutrient_limits!$A$2:$A$8,0))</f>
        <v>25</v>
      </c>
      <c r="J7" s="2" t="s">
        <v>220</v>
      </c>
    </row>
    <row r="8" customFormat="false" ht="15" hidden="false" customHeight="false" outlineLevel="0" collapsed="false">
      <c r="A8" s="2" t="str">
        <f aca="false">users!A8</f>
        <v>user_007</v>
      </c>
      <c r="B8" s="2" t="n">
        <f aca="false">2569-users!F8</f>
        <v>25</v>
      </c>
      <c r="C8" s="2" t="n">
        <f aca="false">ROUND(10*users!H8+6.25*users!G8-5*B8+IF(users!E8="male",5,-161),0)</f>
        <v>1496</v>
      </c>
      <c r="D8" s="2" t="n">
        <f aca="false">ROUND(C8*INDEX(activity_levels!$C$2:$C$6,MATCH(users!I8,activity_levels!$A$2:$A$6,0)),0)</f>
        <v>1795</v>
      </c>
      <c r="E8" s="2" t="n">
        <f aca="false">D8+INDEX(health_goals!$C$2:$C$4,MATCH(users!J8,health_goals!$A$2:$A$4,0))</f>
        <v>1295</v>
      </c>
      <c r="F8" s="2" t="n">
        <f aca="false">ROUND(users!H8*1,0)</f>
        <v>57</v>
      </c>
      <c r="G8" s="2" t="n">
        <f aca="false">INDEX(nutrient_limits!$F$2:$F$8,MATCH("sodium_mg",nutrient_limits!$A$2:$A$8,0))</f>
        <v>2000</v>
      </c>
      <c r="H8" s="2" t="n">
        <f aca="false">INDEX(nutrient_limits!$F$2:$F$8,MATCH("sugar_g",nutrient_limits!$A$2:$A$8,0))</f>
        <v>50</v>
      </c>
      <c r="I8" s="2" t="n">
        <f aca="false">INDEX(nutrient_limits!$F$2:$F$8,MATCH("fiber_g",nutrient_limits!$A$2:$A$8,0))</f>
        <v>25</v>
      </c>
      <c r="J8" s="2" t="s">
        <v>220</v>
      </c>
    </row>
    <row r="9" customFormat="false" ht="15" hidden="false" customHeight="false" outlineLevel="0" collapsed="false">
      <c r="A9" s="2" t="str">
        <f aca="false">users!A9</f>
        <v>user_008</v>
      </c>
      <c r="B9" s="2" t="n">
        <f aca="false">2569-users!F9</f>
        <v>21</v>
      </c>
      <c r="C9" s="2" t="n">
        <f aca="false">ROUND(10*users!H9+6.25*users!G9-5*B9+IF(users!E9="male",5,-161),0)</f>
        <v>1335</v>
      </c>
      <c r="D9" s="2" t="n">
        <f aca="false">ROUND(C9*INDEX(activity_levels!$C$2:$C$6,MATCH(users!I9,activity_levels!$A$2:$A$6,0)),0)</f>
        <v>1836</v>
      </c>
      <c r="E9" s="2" t="n">
        <f aca="false">D9+INDEX(health_goals!$C$2:$C$4,MATCH(users!J9,health_goals!$A$2:$A$4,0))</f>
        <v>1836</v>
      </c>
      <c r="F9" s="2" t="n">
        <f aca="false">ROUND(users!H9*1,0)</f>
        <v>66</v>
      </c>
      <c r="G9" s="2" t="n">
        <f aca="false">INDEX(nutrient_limits!$F$2:$F$8,MATCH("sodium_mg",nutrient_limits!$A$2:$A$8,0))</f>
        <v>2000</v>
      </c>
      <c r="H9" s="2" t="n">
        <f aca="false">INDEX(nutrient_limits!$F$2:$F$8,MATCH("sugar_g",nutrient_limits!$A$2:$A$8,0))</f>
        <v>50</v>
      </c>
      <c r="I9" s="2" t="n">
        <f aca="false">INDEX(nutrient_limits!$F$2:$F$8,MATCH("fiber_g",nutrient_limits!$A$2:$A$8,0))</f>
        <v>25</v>
      </c>
      <c r="J9" s="2" t="s">
        <v>220</v>
      </c>
    </row>
    <row r="10" customFormat="false" ht="15" hidden="false" customHeight="false" outlineLevel="0" collapsed="false">
      <c r="A10" s="2" t="str">
        <f aca="false">users!A10</f>
        <v>user_009</v>
      </c>
      <c r="B10" s="2" t="n">
        <f aca="false">2569-users!F10</f>
        <v>21</v>
      </c>
      <c r="C10" s="2" t="n">
        <f aca="false">ROUND(10*users!H10+6.25*users!G10-5*B10+IF(users!E10="male",5,-161),0)</f>
        <v>1519</v>
      </c>
      <c r="D10" s="2" t="n">
        <f aca="false">ROUND(C10*INDEX(activity_levels!$C$2:$C$6,MATCH(users!I10,activity_levels!$A$2:$A$6,0)),0)</f>
        <v>2620</v>
      </c>
      <c r="E10" s="2" t="n">
        <f aca="false">D10+INDEX(health_goals!$C$2:$C$4,MATCH(users!J10,health_goals!$A$2:$A$4,0))</f>
        <v>2120</v>
      </c>
      <c r="F10" s="2" t="n">
        <f aca="false">ROUND(users!H10*1,0)</f>
        <v>59</v>
      </c>
      <c r="G10" s="2" t="n">
        <f aca="false">INDEX(nutrient_limits!$F$2:$F$8,MATCH("sodium_mg",nutrient_limits!$A$2:$A$8,0))</f>
        <v>2000</v>
      </c>
      <c r="H10" s="2" t="n">
        <f aca="false">INDEX(nutrient_limits!$F$2:$F$8,MATCH("sugar_g",nutrient_limits!$A$2:$A$8,0))</f>
        <v>50</v>
      </c>
      <c r="I10" s="2" t="n">
        <f aca="false">INDEX(nutrient_limits!$F$2:$F$8,MATCH("fiber_g",nutrient_limits!$A$2:$A$8,0))</f>
        <v>25</v>
      </c>
      <c r="J10" s="2" t="s">
        <v>220</v>
      </c>
    </row>
    <row r="11" customFormat="false" ht="15" hidden="false" customHeight="false" outlineLevel="0" collapsed="false">
      <c r="A11" s="2" t="str">
        <f aca="false">users!A11</f>
        <v>user_010</v>
      </c>
      <c r="B11" s="2" t="n">
        <f aca="false">2569-users!F11</f>
        <v>20</v>
      </c>
      <c r="C11" s="2" t="n">
        <f aca="false">ROUND(10*users!H11+6.25*users!G11-5*B11+IF(users!E11="male",5,-161),0)</f>
        <v>1286</v>
      </c>
      <c r="D11" s="2" t="n">
        <f aca="false">ROUND(C11*INDEX(activity_levels!$C$2:$C$6,MATCH(users!I11,activity_levels!$A$2:$A$6,0)),0)</f>
        <v>1993</v>
      </c>
      <c r="E11" s="2" t="n">
        <f aca="false">D11+INDEX(health_goals!$C$2:$C$4,MATCH(users!J11,health_goals!$A$2:$A$4,0))</f>
        <v>1493</v>
      </c>
      <c r="F11" s="2" t="n">
        <f aca="false">ROUND(users!H11*1,0)</f>
        <v>61</v>
      </c>
      <c r="G11" s="2" t="n">
        <f aca="false">INDEX(nutrient_limits!$F$2:$F$8,MATCH("sodium_mg",nutrient_limits!$A$2:$A$8,0))</f>
        <v>2000</v>
      </c>
      <c r="H11" s="2" t="n">
        <f aca="false">INDEX(nutrient_limits!$F$2:$F$8,MATCH("sugar_g",nutrient_limits!$A$2:$A$8,0))</f>
        <v>50</v>
      </c>
      <c r="I11" s="2" t="n">
        <f aca="false">INDEX(nutrient_limits!$F$2:$F$8,MATCH("fiber_g",nutrient_limits!$A$2:$A$8,0))</f>
        <v>25</v>
      </c>
      <c r="J11" s="2" t="s">
        <v>220</v>
      </c>
    </row>
    <row r="12" customFormat="false" ht="15" hidden="false" customHeight="false" outlineLevel="0" collapsed="false">
      <c r="A12" s="2" t="str">
        <f aca="false">users!A12</f>
        <v>user_011</v>
      </c>
      <c r="B12" s="2" t="n">
        <f aca="false">2569-users!F12</f>
        <v>22</v>
      </c>
      <c r="C12" s="2" t="n">
        <f aca="false">ROUND(10*users!H12+6.25*users!G12-5*B12+IF(users!E12="male",5,-161),0)</f>
        <v>1607</v>
      </c>
      <c r="D12" s="2" t="n">
        <f aca="false">ROUND(C12*INDEX(activity_levels!$C$2:$C$6,MATCH(users!I12,activity_levels!$A$2:$A$6,0)),0)</f>
        <v>2772</v>
      </c>
      <c r="E12" s="2" t="n">
        <f aca="false">D12+INDEX(health_goals!$C$2:$C$4,MATCH(users!J12,health_goals!$A$2:$A$4,0))</f>
        <v>2272</v>
      </c>
      <c r="F12" s="2" t="n">
        <f aca="false">ROUND(users!H12*1,0)</f>
        <v>59</v>
      </c>
      <c r="G12" s="2" t="n">
        <f aca="false">INDEX(nutrient_limits!$F$2:$F$8,MATCH("sodium_mg",nutrient_limits!$A$2:$A$8,0))</f>
        <v>2000</v>
      </c>
      <c r="H12" s="2" t="n">
        <f aca="false">INDEX(nutrient_limits!$F$2:$F$8,MATCH("sugar_g",nutrient_limits!$A$2:$A$8,0))</f>
        <v>50</v>
      </c>
      <c r="I12" s="2" t="n">
        <f aca="false">INDEX(nutrient_limits!$F$2:$F$8,MATCH("fiber_g",nutrient_limits!$A$2:$A$8,0))</f>
        <v>25</v>
      </c>
      <c r="J12" s="2" t="s">
        <v>220</v>
      </c>
    </row>
    <row r="13" customFormat="false" ht="15" hidden="false" customHeight="false" outlineLevel="0" collapsed="false">
      <c r="A13" s="2" t="str">
        <f aca="false">users!A13</f>
        <v>user_012</v>
      </c>
      <c r="B13" s="2" t="n">
        <f aca="false">2569-users!F13</f>
        <v>22</v>
      </c>
      <c r="C13" s="2" t="n">
        <f aca="false">ROUND(10*users!H13+6.25*users!G13-5*B13+IF(users!E13="male",5,-161),0)</f>
        <v>1271</v>
      </c>
      <c r="D13" s="2" t="n">
        <f aca="false">ROUND(C13*INDEX(activity_levels!$C$2:$C$6,MATCH(users!I13,activity_levels!$A$2:$A$6,0)),0)</f>
        <v>1748</v>
      </c>
      <c r="E13" s="2" t="n">
        <f aca="false">D13+INDEX(health_goals!$C$2:$C$4,MATCH(users!J13,health_goals!$A$2:$A$4,0))</f>
        <v>2048</v>
      </c>
      <c r="F13" s="2" t="n">
        <f aca="false">ROUND(users!H13*1,0)</f>
        <v>59</v>
      </c>
      <c r="G13" s="2" t="n">
        <f aca="false">INDEX(nutrient_limits!$F$2:$F$8,MATCH("sodium_mg",nutrient_limits!$A$2:$A$8,0))</f>
        <v>2000</v>
      </c>
      <c r="H13" s="2" t="n">
        <f aca="false">INDEX(nutrient_limits!$F$2:$F$8,MATCH("sugar_g",nutrient_limits!$A$2:$A$8,0))</f>
        <v>50</v>
      </c>
      <c r="I13" s="2" t="n">
        <f aca="false">INDEX(nutrient_limits!$F$2:$F$8,MATCH("fiber_g",nutrient_limits!$A$2:$A$8,0))</f>
        <v>25</v>
      </c>
      <c r="J13" s="2" t="s">
        <v>220</v>
      </c>
    </row>
    <row r="14" customFormat="false" ht="15" hidden="false" customHeight="false" outlineLevel="0" collapsed="false">
      <c r="A14" s="2" t="str">
        <f aca="false">users!A14</f>
        <v>user_013</v>
      </c>
      <c r="B14" s="2" t="n">
        <f aca="false">2569-users!F14</f>
        <v>21</v>
      </c>
      <c r="C14" s="2" t="n">
        <f aca="false">ROUND(10*users!H14+6.25*users!G14-5*B14+IF(users!E14="male",5,-161),0)</f>
        <v>1807</v>
      </c>
      <c r="D14" s="2" t="n">
        <f aca="false">ROUND(C14*INDEX(activity_levels!$C$2:$C$6,MATCH(users!I14,activity_levels!$A$2:$A$6,0)),0)</f>
        <v>2485</v>
      </c>
      <c r="E14" s="2" t="n">
        <f aca="false">D14+INDEX(health_goals!$C$2:$C$4,MATCH(users!J14,health_goals!$A$2:$A$4,0))</f>
        <v>2785</v>
      </c>
      <c r="F14" s="2" t="n">
        <f aca="false">ROUND(users!H14*1,0)</f>
        <v>85</v>
      </c>
      <c r="G14" s="2" t="n">
        <f aca="false">INDEX(nutrient_limits!$F$2:$F$8,MATCH("sodium_mg",nutrient_limits!$A$2:$A$8,0))</f>
        <v>2000</v>
      </c>
      <c r="H14" s="2" t="n">
        <f aca="false">INDEX(nutrient_limits!$F$2:$F$8,MATCH("sugar_g",nutrient_limits!$A$2:$A$8,0))</f>
        <v>50</v>
      </c>
      <c r="I14" s="2" t="n">
        <f aca="false">INDEX(nutrient_limits!$F$2:$F$8,MATCH("fiber_g",nutrient_limits!$A$2:$A$8,0))</f>
        <v>25</v>
      </c>
      <c r="J14" s="2" t="s">
        <v>220</v>
      </c>
    </row>
    <row r="15" customFormat="false" ht="15" hidden="false" customHeight="false" outlineLevel="0" collapsed="false">
      <c r="A15" s="2" t="str">
        <f aca="false">users!A15</f>
        <v>user_014</v>
      </c>
      <c r="B15" s="2" t="n">
        <f aca="false">2569-users!F15</f>
        <v>25</v>
      </c>
      <c r="C15" s="2" t="n">
        <f aca="false">ROUND(10*users!H15+6.25*users!G15-5*B15+IF(users!E15="male",5,-161),0)</f>
        <v>1151</v>
      </c>
      <c r="D15" s="2" t="n">
        <f aca="false">ROUND(C15*INDEX(activity_levels!$C$2:$C$6,MATCH(users!I15,activity_levels!$A$2:$A$6,0)),0)</f>
        <v>1985</v>
      </c>
      <c r="E15" s="2" t="n">
        <f aca="false">D15+INDEX(health_goals!$C$2:$C$4,MATCH(users!J15,health_goals!$A$2:$A$4,0))</f>
        <v>1985</v>
      </c>
      <c r="F15" s="2" t="n">
        <f aca="false">ROUND(users!H15*1,0)</f>
        <v>51</v>
      </c>
      <c r="G15" s="2" t="n">
        <f aca="false">INDEX(nutrient_limits!$F$2:$F$8,MATCH("sodium_mg",nutrient_limits!$A$2:$A$8,0))</f>
        <v>2000</v>
      </c>
      <c r="H15" s="2" t="n">
        <f aca="false">INDEX(nutrient_limits!$F$2:$F$8,MATCH("sugar_g",nutrient_limits!$A$2:$A$8,0))</f>
        <v>50</v>
      </c>
      <c r="I15" s="2" t="n">
        <f aca="false">INDEX(nutrient_limits!$F$2:$F$8,MATCH("fiber_g",nutrient_limits!$A$2:$A$8,0))</f>
        <v>25</v>
      </c>
      <c r="J15" s="2" t="s">
        <v>220</v>
      </c>
    </row>
    <row r="16" customFormat="false" ht="15" hidden="false" customHeight="false" outlineLevel="0" collapsed="false">
      <c r="A16" s="2" t="str">
        <f aca="false">users!A16</f>
        <v>user_015</v>
      </c>
      <c r="B16" s="2" t="n">
        <f aca="false">2569-users!F16</f>
        <v>22</v>
      </c>
      <c r="C16" s="2" t="n">
        <f aca="false">ROUND(10*users!H16+6.25*users!G16-5*B16+IF(users!E16="male",5,-161),0)</f>
        <v>1577</v>
      </c>
      <c r="D16" s="2" t="n">
        <f aca="false">ROUND(C16*INDEX(activity_levels!$C$2:$C$6,MATCH(users!I16,activity_levels!$A$2:$A$6,0)),0)</f>
        <v>2168</v>
      </c>
      <c r="E16" s="2" t="n">
        <f aca="false">D16+INDEX(health_goals!$C$2:$C$4,MATCH(users!J16,health_goals!$A$2:$A$4,0))</f>
        <v>1668</v>
      </c>
      <c r="F16" s="2" t="n">
        <f aca="false">ROUND(users!H16*1,0)</f>
        <v>59</v>
      </c>
      <c r="G16" s="2" t="n">
        <f aca="false">INDEX(nutrient_limits!$F$2:$F$8,MATCH("sodium_mg",nutrient_limits!$A$2:$A$8,0))</f>
        <v>2000</v>
      </c>
      <c r="H16" s="2" t="n">
        <f aca="false">INDEX(nutrient_limits!$F$2:$F$8,MATCH("sugar_g",nutrient_limits!$A$2:$A$8,0))</f>
        <v>50</v>
      </c>
      <c r="I16" s="2" t="n">
        <f aca="false">INDEX(nutrient_limits!$F$2:$F$8,MATCH("fiber_g",nutrient_limits!$A$2:$A$8,0))</f>
        <v>25</v>
      </c>
      <c r="J16" s="2" t="s">
        <v>220</v>
      </c>
    </row>
    <row r="17" customFormat="false" ht="15" hidden="false" customHeight="false" outlineLevel="0" collapsed="false">
      <c r="A17" s="2" t="str">
        <f aca="false">users!A17</f>
        <v>user_016</v>
      </c>
      <c r="B17" s="2" t="n">
        <f aca="false">2569-users!F17</f>
        <v>26</v>
      </c>
      <c r="C17" s="2" t="n">
        <f aca="false">ROUND(10*users!H17+6.25*users!G17-5*B17+IF(users!E17="male",5,-161),0)</f>
        <v>1337</v>
      </c>
      <c r="D17" s="2" t="n">
        <f aca="false">ROUND(C17*INDEX(activity_levels!$C$2:$C$6,MATCH(users!I17,activity_levels!$A$2:$A$6,0)),0)</f>
        <v>2072</v>
      </c>
      <c r="E17" s="2" t="n">
        <f aca="false">D17+INDEX(health_goals!$C$2:$C$4,MATCH(users!J17,health_goals!$A$2:$A$4,0))</f>
        <v>2072</v>
      </c>
      <c r="F17" s="2" t="n">
        <f aca="false">ROUND(users!H17*1,0)</f>
        <v>60</v>
      </c>
      <c r="G17" s="2" t="n">
        <f aca="false">INDEX(nutrient_limits!$F$2:$F$8,MATCH("sodium_mg",nutrient_limits!$A$2:$A$8,0))</f>
        <v>2000</v>
      </c>
      <c r="H17" s="2" t="n">
        <f aca="false">INDEX(nutrient_limits!$F$2:$F$8,MATCH("sugar_g",nutrient_limits!$A$2:$A$8,0))</f>
        <v>50</v>
      </c>
      <c r="I17" s="2" t="n">
        <f aca="false">INDEX(nutrient_limits!$F$2:$F$8,MATCH("fiber_g",nutrient_limits!$A$2:$A$8,0))</f>
        <v>25</v>
      </c>
      <c r="J17" s="2" t="s">
        <v>220</v>
      </c>
    </row>
    <row r="18" customFormat="false" ht="15" hidden="false" customHeight="false" outlineLevel="0" collapsed="false">
      <c r="A18" s="2" t="str">
        <f aca="false">users!A18</f>
        <v>user_017</v>
      </c>
      <c r="B18" s="2" t="n">
        <f aca="false">2569-users!F18</f>
        <v>25</v>
      </c>
      <c r="C18" s="2" t="n">
        <f aca="false">ROUND(10*users!H18+6.25*users!G18-5*B18+IF(users!E18="male",5,-161),0)</f>
        <v>1680</v>
      </c>
      <c r="D18" s="2" t="n">
        <f aca="false">ROUND(C18*INDEX(activity_levels!$C$2:$C$6,MATCH(users!I18,activity_levels!$A$2:$A$6,0)),0)</f>
        <v>2310</v>
      </c>
      <c r="E18" s="2" t="n">
        <f aca="false">D18+INDEX(health_goals!$C$2:$C$4,MATCH(users!J18,health_goals!$A$2:$A$4,0))</f>
        <v>2310</v>
      </c>
      <c r="F18" s="2" t="n">
        <f aca="false">ROUND(users!H18*1,0)</f>
        <v>65</v>
      </c>
      <c r="G18" s="2" t="n">
        <f aca="false">INDEX(nutrient_limits!$F$2:$F$8,MATCH("sodium_mg",nutrient_limits!$A$2:$A$8,0))</f>
        <v>2000</v>
      </c>
      <c r="H18" s="2" t="n">
        <f aca="false">INDEX(nutrient_limits!$F$2:$F$8,MATCH("sugar_g",nutrient_limits!$A$2:$A$8,0))</f>
        <v>50</v>
      </c>
      <c r="I18" s="2" t="n">
        <f aca="false">INDEX(nutrient_limits!$F$2:$F$8,MATCH("fiber_g",nutrient_limits!$A$2:$A$8,0))</f>
        <v>25</v>
      </c>
      <c r="J18" s="2" t="s">
        <v>220</v>
      </c>
    </row>
    <row r="19" customFormat="false" ht="15" hidden="false" customHeight="false" outlineLevel="0" collapsed="false">
      <c r="A19" s="2" t="str">
        <f aca="false">users!A19</f>
        <v>user_018</v>
      </c>
      <c r="B19" s="2" t="n">
        <f aca="false">2569-users!F19</f>
        <v>20</v>
      </c>
      <c r="C19" s="2" t="n">
        <f aca="false">ROUND(10*users!H19+6.25*users!G19-5*B19+IF(users!E19="male",5,-161),0)</f>
        <v>1158</v>
      </c>
      <c r="D19" s="2" t="n">
        <f aca="false">ROUND(C19*INDEX(activity_levels!$C$2:$C$6,MATCH(users!I19,activity_levels!$A$2:$A$6,0)),0)</f>
        <v>1795</v>
      </c>
      <c r="E19" s="2" t="n">
        <f aca="false">D19+INDEX(health_goals!$C$2:$C$4,MATCH(users!J19,health_goals!$A$2:$A$4,0))</f>
        <v>2095</v>
      </c>
      <c r="F19" s="2" t="n">
        <f aca="false">ROUND(users!H19*1,0)</f>
        <v>46</v>
      </c>
      <c r="G19" s="2" t="n">
        <f aca="false">INDEX(nutrient_limits!$F$2:$F$8,MATCH("sodium_mg",nutrient_limits!$A$2:$A$8,0))</f>
        <v>2000</v>
      </c>
      <c r="H19" s="2" t="n">
        <f aca="false">INDEX(nutrient_limits!$F$2:$F$8,MATCH("sugar_g",nutrient_limits!$A$2:$A$8,0))</f>
        <v>50</v>
      </c>
      <c r="I19" s="2" t="n">
        <f aca="false">INDEX(nutrient_limits!$F$2:$F$8,MATCH("fiber_g",nutrient_limits!$A$2:$A$8,0))</f>
        <v>25</v>
      </c>
      <c r="J19" s="2" t="s">
        <v>220</v>
      </c>
    </row>
    <row r="20" customFormat="false" ht="15" hidden="false" customHeight="false" outlineLevel="0" collapsed="false">
      <c r="A20" s="2" t="str">
        <f aca="false">users!A20</f>
        <v>user_019</v>
      </c>
      <c r="B20" s="2" t="n">
        <f aca="false">2569-users!F20</f>
        <v>21</v>
      </c>
      <c r="C20" s="2" t="n">
        <f aca="false">ROUND(10*users!H20+6.25*users!G20-5*B20+IF(users!E20="male",5,-161),0)</f>
        <v>1635</v>
      </c>
      <c r="D20" s="2" t="n">
        <f aca="false">ROUND(C20*INDEX(activity_levels!$C$2:$C$6,MATCH(users!I20,activity_levels!$A$2:$A$6,0)),0)</f>
        <v>2820</v>
      </c>
      <c r="E20" s="2" t="n">
        <f aca="false">D20+INDEX(health_goals!$C$2:$C$4,MATCH(users!J20,health_goals!$A$2:$A$4,0))</f>
        <v>2820</v>
      </c>
      <c r="F20" s="2" t="n">
        <f aca="false">ROUND(users!H20*1,0)</f>
        <v>61</v>
      </c>
      <c r="G20" s="2" t="n">
        <f aca="false">INDEX(nutrient_limits!$F$2:$F$8,MATCH("sodium_mg",nutrient_limits!$A$2:$A$8,0))</f>
        <v>2000</v>
      </c>
      <c r="H20" s="2" t="n">
        <f aca="false">INDEX(nutrient_limits!$F$2:$F$8,MATCH("sugar_g",nutrient_limits!$A$2:$A$8,0))</f>
        <v>50</v>
      </c>
      <c r="I20" s="2" t="n">
        <f aca="false">INDEX(nutrient_limits!$F$2:$F$8,MATCH("fiber_g",nutrient_limits!$A$2:$A$8,0))</f>
        <v>25</v>
      </c>
      <c r="J20" s="2" t="s">
        <v>220</v>
      </c>
    </row>
    <row r="21" customFormat="false" ht="15" hidden="false" customHeight="false" outlineLevel="0" collapsed="false">
      <c r="A21" s="2" t="str">
        <f aca="false">users!A21</f>
        <v>user_020</v>
      </c>
      <c r="B21" s="2" t="n">
        <f aca="false">2569-users!F21</f>
        <v>24</v>
      </c>
      <c r="C21" s="2" t="n">
        <f aca="false">ROUND(10*users!H21+6.25*users!G21-5*B21+IF(users!E21="male",5,-161),0)</f>
        <v>1403</v>
      </c>
      <c r="D21" s="2" t="n">
        <f aca="false">ROUND(C21*INDEX(activity_levels!$C$2:$C$6,MATCH(users!I21,activity_levels!$A$2:$A$6,0)),0)</f>
        <v>2175</v>
      </c>
      <c r="E21" s="2" t="n">
        <f aca="false">D21+INDEX(health_goals!$C$2:$C$4,MATCH(users!J21,health_goals!$A$2:$A$4,0))</f>
        <v>2175</v>
      </c>
      <c r="F21" s="2" t="n">
        <f aca="false">ROUND(users!H21*1,0)</f>
        <v>70</v>
      </c>
      <c r="G21" s="2" t="n">
        <f aca="false">INDEX(nutrient_limits!$F$2:$F$8,MATCH("sodium_mg",nutrient_limits!$A$2:$A$8,0))</f>
        <v>2000</v>
      </c>
      <c r="H21" s="2" t="n">
        <f aca="false">INDEX(nutrient_limits!$F$2:$F$8,MATCH("sugar_g",nutrient_limits!$A$2:$A$8,0))</f>
        <v>50</v>
      </c>
      <c r="I21" s="2" t="n">
        <f aca="false">INDEX(nutrient_limits!$F$2:$F$8,MATCH("fiber_g",nutrient_limits!$A$2:$A$8,0))</f>
        <v>25</v>
      </c>
      <c r="J21" s="2" t="s">
        <v>220</v>
      </c>
    </row>
    <row r="22" customFormat="false" ht="15" hidden="false" customHeight="false" outlineLevel="0" collapsed="false">
      <c r="A22" s="2" t="str">
        <f aca="false">users!A22</f>
        <v>user_021</v>
      </c>
      <c r="B22" s="2" t="n">
        <f aca="false">2569-users!F22</f>
        <v>22</v>
      </c>
      <c r="C22" s="2" t="n">
        <f aca="false">ROUND(10*users!H22+6.25*users!G22-5*B22+IF(users!E22="male",5,-161),0)</f>
        <v>1645</v>
      </c>
      <c r="D22" s="2" t="n">
        <f aca="false">ROUND(C22*INDEX(activity_levels!$C$2:$C$6,MATCH(users!I22,activity_levels!$A$2:$A$6,0)),0)</f>
        <v>2262</v>
      </c>
      <c r="E22" s="2" t="n">
        <f aca="false">D22+INDEX(health_goals!$C$2:$C$4,MATCH(users!J22,health_goals!$A$2:$A$4,0))</f>
        <v>2562</v>
      </c>
      <c r="F22" s="2" t="n">
        <f aca="false">ROUND(users!H22*1,0)</f>
        <v>61</v>
      </c>
      <c r="G22" s="2" t="n">
        <f aca="false">INDEX(nutrient_limits!$F$2:$F$8,MATCH("sodium_mg",nutrient_limits!$A$2:$A$8,0))</f>
        <v>2000</v>
      </c>
      <c r="H22" s="2" t="n">
        <f aca="false">INDEX(nutrient_limits!$F$2:$F$8,MATCH("sugar_g",nutrient_limits!$A$2:$A$8,0))</f>
        <v>50</v>
      </c>
      <c r="I22" s="2" t="n">
        <f aca="false">INDEX(nutrient_limits!$F$2:$F$8,MATCH("fiber_g",nutrient_limits!$A$2:$A$8,0))</f>
        <v>25</v>
      </c>
      <c r="J22" s="2" t="s">
        <v>220</v>
      </c>
    </row>
    <row r="23" customFormat="false" ht="15" hidden="false" customHeight="false" outlineLevel="0" collapsed="false">
      <c r="A23" s="2" t="str">
        <f aca="false">users!A23</f>
        <v>user_022</v>
      </c>
      <c r="B23" s="2" t="n">
        <f aca="false">2569-users!F23</f>
        <v>24</v>
      </c>
      <c r="C23" s="2" t="n">
        <f aca="false">ROUND(10*users!H23+6.25*users!G23-5*B23+IF(users!E23="male",5,-161),0)</f>
        <v>1399</v>
      </c>
      <c r="D23" s="2" t="n">
        <f aca="false">ROUND(C23*INDEX(activity_levels!$C$2:$C$6,MATCH(users!I23,activity_levels!$A$2:$A$6,0)),0)</f>
        <v>1924</v>
      </c>
      <c r="E23" s="2" t="n">
        <f aca="false">D23+INDEX(health_goals!$C$2:$C$4,MATCH(users!J23,health_goals!$A$2:$A$4,0))</f>
        <v>1924</v>
      </c>
      <c r="F23" s="2" t="n">
        <f aca="false">ROUND(users!H23*1,0)</f>
        <v>64</v>
      </c>
      <c r="G23" s="2" t="n">
        <f aca="false">INDEX(nutrient_limits!$F$2:$F$8,MATCH("sodium_mg",nutrient_limits!$A$2:$A$8,0))</f>
        <v>2000</v>
      </c>
      <c r="H23" s="2" t="n">
        <f aca="false">INDEX(nutrient_limits!$F$2:$F$8,MATCH("sugar_g",nutrient_limits!$A$2:$A$8,0))</f>
        <v>50</v>
      </c>
      <c r="I23" s="2" t="n">
        <f aca="false">INDEX(nutrient_limits!$F$2:$F$8,MATCH("fiber_g",nutrient_limits!$A$2:$A$8,0))</f>
        <v>25</v>
      </c>
      <c r="J23" s="2" t="s">
        <v>220</v>
      </c>
    </row>
    <row r="24" customFormat="false" ht="15" hidden="false" customHeight="false" outlineLevel="0" collapsed="false">
      <c r="A24" s="2" t="str">
        <f aca="false">users!A24</f>
        <v>user_023</v>
      </c>
      <c r="B24" s="2" t="n">
        <f aca="false">2569-users!F24</f>
        <v>26</v>
      </c>
      <c r="C24" s="2" t="n">
        <f aca="false">ROUND(10*users!H24+6.25*users!G24-5*B24+IF(users!E24="male",5,-161),0)</f>
        <v>1707</v>
      </c>
      <c r="D24" s="2" t="n">
        <f aca="false">ROUND(C24*INDEX(activity_levels!$C$2:$C$6,MATCH(users!I24,activity_levels!$A$2:$A$6,0)),0)</f>
        <v>2347</v>
      </c>
      <c r="E24" s="2" t="n">
        <f aca="false">D24+INDEX(health_goals!$C$2:$C$4,MATCH(users!J24,health_goals!$A$2:$A$4,0))</f>
        <v>2647</v>
      </c>
      <c r="F24" s="2" t="n">
        <f aca="false">ROUND(users!H24*1,0)</f>
        <v>77</v>
      </c>
      <c r="G24" s="2" t="n">
        <f aca="false">INDEX(nutrient_limits!$F$2:$F$8,MATCH("sodium_mg",nutrient_limits!$A$2:$A$8,0))</f>
        <v>2000</v>
      </c>
      <c r="H24" s="2" t="n">
        <f aca="false">INDEX(nutrient_limits!$F$2:$F$8,MATCH("sugar_g",nutrient_limits!$A$2:$A$8,0))</f>
        <v>50</v>
      </c>
      <c r="I24" s="2" t="n">
        <f aca="false">INDEX(nutrient_limits!$F$2:$F$8,MATCH("fiber_g",nutrient_limits!$A$2:$A$8,0))</f>
        <v>25</v>
      </c>
      <c r="J24" s="2" t="s">
        <v>220</v>
      </c>
    </row>
    <row r="25" customFormat="false" ht="15" hidden="false" customHeight="false" outlineLevel="0" collapsed="false">
      <c r="A25" s="2" t="str">
        <f aca="false">users!A25</f>
        <v>user_024</v>
      </c>
      <c r="B25" s="2" t="n">
        <f aca="false">2569-users!F25</f>
        <v>27</v>
      </c>
      <c r="C25" s="2" t="n">
        <f aca="false">ROUND(10*users!H25+6.25*users!G25-5*B25+IF(users!E25="male",5,-161),0)</f>
        <v>1193</v>
      </c>
      <c r="D25" s="2" t="n">
        <f aca="false">ROUND(C25*INDEX(activity_levels!$C$2:$C$6,MATCH(users!I25,activity_levels!$A$2:$A$6,0)),0)</f>
        <v>1640</v>
      </c>
      <c r="E25" s="2" t="n">
        <f aca="false">D25+INDEX(health_goals!$C$2:$C$4,MATCH(users!J25,health_goals!$A$2:$A$4,0))</f>
        <v>1140</v>
      </c>
      <c r="F25" s="2" t="n">
        <f aca="false">ROUND(users!H25*1,0)</f>
        <v>46</v>
      </c>
      <c r="G25" s="2" t="n">
        <f aca="false">INDEX(nutrient_limits!$F$2:$F$8,MATCH("sodium_mg",nutrient_limits!$A$2:$A$8,0))</f>
        <v>2000</v>
      </c>
      <c r="H25" s="2" t="n">
        <f aca="false">INDEX(nutrient_limits!$F$2:$F$8,MATCH("sugar_g",nutrient_limits!$A$2:$A$8,0))</f>
        <v>50</v>
      </c>
      <c r="I25" s="2" t="n">
        <f aca="false">INDEX(nutrient_limits!$F$2:$F$8,MATCH("fiber_g",nutrient_limits!$A$2:$A$8,0))</f>
        <v>25</v>
      </c>
      <c r="J25" s="2" t="s">
        <v>220</v>
      </c>
    </row>
    <row r="26" customFormat="false" ht="15" hidden="false" customHeight="false" outlineLevel="0" collapsed="false">
      <c r="A26" s="2" t="str">
        <f aca="false">users!A26</f>
        <v>user_025</v>
      </c>
      <c r="B26" s="2" t="n">
        <f aca="false">2569-users!F26</f>
        <v>24</v>
      </c>
      <c r="C26" s="2" t="n">
        <f aca="false">ROUND(10*users!H26+6.25*users!G26-5*B26+IF(users!E26="male",5,-161),0)</f>
        <v>1222</v>
      </c>
      <c r="D26" s="2" t="n">
        <f aca="false">ROUND(C26*INDEX(activity_levels!$C$2:$C$6,MATCH(users!I26,activity_levels!$A$2:$A$6,0)),0)</f>
        <v>1466</v>
      </c>
      <c r="E26" s="2" t="n">
        <f aca="false">D26+INDEX(health_goals!$C$2:$C$4,MATCH(users!J26,health_goals!$A$2:$A$4,0))</f>
        <v>1766</v>
      </c>
      <c r="F26" s="2" t="n">
        <f aca="false">ROUND(users!H26*1,0)</f>
        <v>57</v>
      </c>
      <c r="G26" s="2" t="n">
        <f aca="false">INDEX(nutrient_limits!$F$2:$F$8,MATCH("sodium_mg",nutrient_limits!$A$2:$A$8,0))</f>
        <v>2000</v>
      </c>
      <c r="H26" s="2" t="n">
        <f aca="false">INDEX(nutrient_limits!$F$2:$F$8,MATCH("sugar_g",nutrient_limits!$A$2:$A$8,0))</f>
        <v>50</v>
      </c>
      <c r="I26" s="2" t="n">
        <f aca="false">INDEX(nutrient_limits!$F$2:$F$8,MATCH("fiber_g",nutrient_limits!$A$2:$A$8,0))</f>
        <v>25</v>
      </c>
      <c r="J26" s="2" t="s">
        <v>220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.8"/>
    <col collapsed="false" customWidth="true" hidden="false" outlineLevel="0" max="3" min="3" style="0" width="13"/>
    <col collapsed="false" customWidth="true" hidden="false" outlineLevel="0" max="4" min="4" style="0" width="11.9"/>
    <col collapsed="false" customWidth="true" hidden="false" outlineLevel="0" max="5" min="5" style="0" width="10.8"/>
    <col collapsed="false" customWidth="true" hidden="false" outlineLevel="0" max="6" min="6" style="0" width="10"/>
    <col collapsed="false" customWidth="true" hidden="false" outlineLevel="0" max="7" min="7" style="0" width="29.51"/>
  </cols>
  <sheetData>
    <row r="1" customFormat="false" ht="15" hidden="false" customHeight="false" outlineLevel="0" collapsed="false">
      <c r="A1" s="4" t="s">
        <v>976</v>
      </c>
      <c r="B1" s="4" t="s">
        <v>874</v>
      </c>
      <c r="C1" s="4" t="s">
        <v>977</v>
      </c>
      <c r="D1" s="4" t="s">
        <v>978</v>
      </c>
      <c r="E1" s="4" t="s">
        <v>200</v>
      </c>
      <c r="F1" s="4" t="s">
        <v>979</v>
      </c>
      <c r="G1" s="4" t="s">
        <v>980</v>
      </c>
    </row>
    <row r="2" customFormat="false" ht="15" hidden="false" customHeight="false" outlineLevel="0" collapsed="false">
      <c r="A2" s="2" t="s">
        <v>981</v>
      </c>
      <c r="B2" s="2" t="s">
        <v>884</v>
      </c>
      <c r="C2" s="2" t="s">
        <v>982</v>
      </c>
      <c r="D2" s="2" t="s">
        <v>983</v>
      </c>
      <c r="E2" s="2" t="s">
        <v>304</v>
      </c>
      <c r="F2" s="2" t="n">
        <v>1</v>
      </c>
      <c r="G2" s="2" t="s">
        <v>984</v>
      </c>
    </row>
    <row r="3" customFormat="false" ht="15" hidden="false" customHeight="false" outlineLevel="0" collapsed="false">
      <c r="A3" s="2" t="s">
        <v>985</v>
      </c>
      <c r="B3" s="2" t="s">
        <v>884</v>
      </c>
      <c r="C3" s="2" t="s">
        <v>982</v>
      </c>
      <c r="D3" s="2" t="s">
        <v>986</v>
      </c>
      <c r="E3" s="2" t="s">
        <v>317</v>
      </c>
      <c r="F3" s="2" t="n">
        <v>1</v>
      </c>
      <c r="G3" s="2" t="s">
        <v>987</v>
      </c>
    </row>
    <row r="4" customFormat="false" ht="15" hidden="false" customHeight="false" outlineLevel="0" collapsed="false">
      <c r="A4" s="2" t="s">
        <v>988</v>
      </c>
      <c r="B4" s="2" t="s">
        <v>884</v>
      </c>
      <c r="C4" s="2" t="s">
        <v>982</v>
      </c>
      <c r="D4" s="2" t="s">
        <v>989</v>
      </c>
      <c r="E4" s="2" t="s">
        <v>418</v>
      </c>
      <c r="F4" s="2" t="n">
        <v>1</v>
      </c>
      <c r="G4" s="2" t="s">
        <v>990</v>
      </c>
    </row>
    <row r="5" customFormat="false" ht="15" hidden="false" customHeight="false" outlineLevel="0" collapsed="false">
      <c r="A5" s="2" t="s">
        <v>991</v>
      </c>
      <c r="B5" s="2" t="s">
        <v>884</v>
      </c>
      <c r="C5" s="2" t="s">
        <v>982</v>
      </c>
      <c r="D5" s="2" t="s">
        <v>992</v>
      </c>
      <c r="E5" s="2" t="s">
        <v>484</v>
      </c>
      <c r="F5" s="2" t="n">
        <v>1</v>
      </c>
      <c r="G5" s="2" t="s">
        <v>993</v>
      </c>
    </row>
    <row r="6" customFormat="false" ht="15" hidden="false" customHeight="false" outlineLevel="0" collapsed="false">
      <c r="A6" s="2" t="s">
        <v>994</v>
      </c>
      <c r="B6" s="2" t="s">
        <v>884</v>
      </c>
      <c r="C6" s="2" t="s">
        <v>982</v>
      </c>
      <c r="D6" s="2" t="s">
        <v>989</v>
      </c>
      <c r="E6" s="2" t="s">
        <v>399</v>
      </c>
      <c r="F6" s="2" t="n">
        <v>1</v>
      </c>
      <c r="G6" s="2" t="s">
        <v>990</v>
      </c>
    </row>
    <row r="7" customFormat="false" ht="15" hidden="false" customHeight="false" outlineLevel="0" collapsed="false">
      <c r="A7" s="2" t="s">
        <v>995</v>
      </c>
      <c r="B7" s="2" t="s">
        <v>884</v>
      </c>
      <c r="C7" s="2" t="s">
        <v>996</v>
      </c>
      <c r="D7" s="2" t="s">
        <v>983</v>
      </c>
      <c r="E7" s="2" t="s">
        <v>352</v>
      </c>
      <c r="F7" s="2" t="n">
        <v>1</v>
      </c>
      <c r="G7" s="2" t="s">
        <v>997</v>
      </c>
    </row>
    <row r="8" customFormat="false" ht="15" hidden="false" customHeight="false" outlineLevel="0" collapsed="false">
      <c r="A8" s="2" t="s">
        <v>998</v>
      </c>
      <c r="B8" s="2" t="s">
        <v>884</v>
      </c>
      <c r="C8" s="2" t="s">
        <v>996</v>
      </c>
      <c r="D8" s="2" t="s">
        <v>986</v>
      </c>
      <c r="E8" s="2" t="s">
        <v>317</v>
      </c>
      <c r="F8" s="2" t="n">
        <v>1</v>
      </c>
      <c r="G8" s="2" t="s">
        <v>999</v>
      </c>
    </row>
    <row r="9" customFormat="false" ht="15" hidden="false" customHeight="false" outlineLevel="0" collapsed="false">
      <c r="A9" s="2" t="s">
        <v>1000</v>
      </c>
      <c r="B9" s="2" t="s">
        <v>884</v>
      </c>
      <c r="C9" s="2" t="s">
        <v>996</v>
      </c>
      <c r="D9" s="2" t="s">
        <v>989</v>
      </c>
      <c r="E9" s="2" t="s">
        <v>399</v>
      </c>
      <c r="F9" s="2" t="n">
        <v>1</v>
      </c>
      <c r="G9" s="2" t="s">
        <v>1001</v>
      </c>
    </row>
    <row r="10" customFormat="false" ht="15" hidden="false" customHeight="false" outlineLevel="0" collapsed="false">
      <c r="A10" s="2" t="s">
        <v>1002</v>
      </c>
      <c r="B10" s="2" t="s">
        <v>884</v>
      </c>
      <c r="C10" s="2" t="s">
        <v>1003</v>
      </c>
      <c r="D10" s="2" t="s">
        <v>983</v>
      </c>
      <c r="E10" s="2" t="s">
        <v>227</v>
      </c>
      <c r="F10" s="2" t="n">
        <v>1</v>
      </c>
      <c r="G10" s="2" t="s">
        <v>1004</v>
      </c>
    </row>
    <row r="11" customFormat="false" ht="15" hidden="false" customHeight="false" outlineLevel="0" collapsed="false">
      <c r="A11" s="2" t="s">
        <v>1005</v>
      </c>
      <c r="B11" s="2" t="s">
        <v>884</v>
      </c>
      <c r="C11" s="2" t="s">
        <v>1003</v>
      </c>
      <c r="D11" s="2" t="s">
        <v>986</v>
      </c>
      <c r="E11" s="2" t="s">
        <v>323</v>
      </c>
      <c r="F11" s="2" t="n">
        <v>1</v>
      </c>
      <c r="G11" s="2" t="s">
        <v>1006</v>
      </c>
    </row>
    <row r="12" customFormat="false" ht="15" hidden="false" customHeight="false" outlineLevel="0" collapsed="false">
      <c r="A12" s="2" t="s">
        <v>1007</v>
      </c>
      <c r="B12" s="2" t="s">
        <v>884</v>
      </c>
      <c r="C12" s="2" t="s">
        <v>1003</v>
      </c>
      <c r="D12" s="2" t="s">
        <v>989</v>
      </c>
      <c r="E12" s="2" t="s">
        <v>211</v>
      </c>
      <c r="F12" s="2" t="n">
        <v>1</v>
      </c>
      <c r="G12" s="2" t="s">
        <v>1008</v>
      </c>
    </row>
    <row r="13" customFormat="false" ht="15" hidden="false" customHeight="false" outlineLevel="0" collapsed="false">
      <c r="A13" s="2" t="s">
        <v>1009</v>
      </c>
      <c r="B13" s="2" t="s">
        <v>884</v>
      </c>
      <c r="C13" s="2" t="s">
        <v>1010</v>
      </c>
      <c r="D13" s="2" t="s">
        <v>983</v>
      </c>
      <c r="E13" s="2" t="s">
        <v>352</v>
      </c>
      <c r="F13" s="2" t="n">
        <v>1</v>
      </c>
      <c r="G13" s="2" t="s">
        <v>1011</v>
      </c>
    </row>
    <row r="14" customFormat="false" ht="15" hidden="false" customHeight="false" outlineLevel="0" collapsed="false">
      <c r="A14" s="2" t="s">
        <v>1012</v>
      </c>
      <c r="B14" s="2" t="s">
        <v>884</v>
      </c>
      <c r="C14" s="2" t="s">
        <v>1010</v>
      </c>
      <c r="D14" s="2" t="s">
        <v>986</v>
      </c>
      <c r="E14" s="2" t="s">
        <v>298</v>
      </c>
      <c r="F14" s="2" t="n">
        <v>1</v>
      </c>
      <c r="G14" s="2" t="s">
        <v>1013</v>
      </c>
    </row>
    <row r="15" customFormat="false" ht="15" hidden="false" customHeight="false" outlineLevel="0" collapsed="false">
      <c r="A15" s="2" t="s">
        <v>1014</v>
      </c>
      <c r="B15" s="2" t="s">
        <v>884</v>
      </c>
      <c r="C15" s="2" t="s">
        <v>1010</v>
      </c>
      <c r="D15" s="2" t="s">
        <v>989</v>
      </c>
      <c r="E15" s="2" t="s">
        <v>341</v>
      </c>
      <c r="F15" s="2" t="n">
        <v>1</v>
      </c>
      <c r="G15" s="2" t="s">
        <v>1015</v>
      </c>
    </row>
    <row r="16" customFormat="false" ht="15" hidden="false" customHeight="false" outlineLevel="0" collapsed="false">
      <c r="A16" s="2" t="s">
        <v>1016</v>
      </c>
      <c r="B16" s="2" t="s">
        <v>884</v>
      </c>
      <c r="C16" s="2" t="s">
        <v>1010</v>
      </c>
      <c r="D16" s="2" t="s">
        <v>992</v>
      </c>
      <c r="E16" s="2" t="s">
        <v>496</v>
      </c>
      <c r="F16" s="2" t="n">
        <v>1</v>
      </c>
      <c r="G16" s="2" t="s">
        <v>1017</v>
      </c>
    </row>
    <row r="17" customFormat="false" ht="15" hidden="false" customHeight="false" outlineLevel="0" collapsed="false">
      <c r="A17" s="2" t="s">
        <v>1018</v>
      </c>
      <c r="B17" s="2" t="s">
        <v>884</v>
      </c>
      <c r="C17" s="2" t="s">
        <v>1019</v>
      </c>
      <c r="D17" s="2" t="s">
        <v>986</v>
      </c>
      <c r="E17" s="2" t="s">
        <v>369</v>
      </c>
      <c r="F17" s="2" t="n">
        <v>1</v>
      </c>
      <c r="G17" s="2" t="s">
        <v>1020</v>
      </c>
    </row>
    <row r="18" customFormat="false" ht="15" hidden="false" customHeight="false" outlineLevel="0" collapsed="false">
      <c r="A18" s="2" t="s">
        <v>1021</v>
      </c>
      <c r="B18" s="2" t="s">
        <v>884</v>
      </c>
      <c r="C18" s="2" t="s">
        <v>1019</v>
      </c>
      <c r="D18" s="2" t="s">
        <v>989</v>
      </c>
      <c r="E18" s="2" t="s">
        <v>221</v>
      </c>
      <c r="F18" s="2" t="n">
        <v>1</v>
      </c>
      <c r="G18" s="2" t="s">
        <v>1022</v>
      </c>
    </row>
    <row r="19" customFormat="false" ht="15" hidden="false" customHeight="false" outlineLevel="0" collapsed="false">
      <c r="A19" s="2" t="s">
        <v>1023</v>
      </c>
      <c r="B19" s="2" t="s">
        <v>884</v>
      </c>
      <c r="C19" s="2" t="s">
        <v>1019</v>
      </c>
      <c r="D19" s="2" t="s">
        <v>992</v>
      </c>
      <c r="E19" s="2" t="s">
        <v>477</v>
      </c>
      <c r="F19" s="2" t="n">
        <v>1</v>
      </c>
      <c r="G19" s="2" t="s">
        <v>1024</v>
      </c>
    </row>
    <row r="20" customFormat="false" ht="15" hidden="false" customHeight="false" outlineLevel="0" collapsed="false">
      <c r="A20" s="2" t="s">
        <v>1025</v>
      </c>
      <c r="B20" s="2" t="s">
        <v>884</v>
      </c>
      <c r="C20" s="2" t="s">
        <v>1026</v>
      </c>
      <c r="D20" s="2" t="s">
        <v>983</v>
      </c>
      <c r="E20" s="2" t="s">
        <v>459</v>
      </c>
      <c r="F20" s="2" t="n">
        <v>1</v>
      </c>
      <c r="G20" s="2" t="s">
        <v>1027</v>
      </c>
    </row>
    <row r="21" customFormat="false" ht="15" hidden="false" customHeight="false" outlineLevel="0" collapsed="false">
      <c r="A21" s="2" t="s">
        <v>1028</v>
      </c>
      <c r="B21" s="2" t="s">
        <v>884</v>
      </c>
      <c r="C21" s="2" t="s">
        <v>1026</v>
      </c>
      <c r="D21" s="2" t="s">
        <v>986</v>
      </c>
      <c r="E21" s="2" t="s">
        <v>233</v>
      </c>
      <c r="F21" s="2" t="n">
        <v>1</v>
      </c>
      <c r="G21" s="2" t="s">
        <v>1029</v>
      </c>
    </row>
    <row r="22" customFormat="false" ht="15" hidden="false" customHeight="false" outlineLevel="0" collapsed="false">
      <c r="A22" s="2" t="s">
        <v>1030</v>
      </c>
      <c r="B22" s="2" t="s">
        <v>884</v>
      </c>
      <c r="C22" s="2" t="s">
        <v>1026</v>
      </c>
      <c r="D22" s="2" t="s">
        <v>989</v>
      </c>
      <c r="E22" s="2" t="s">
        <v>227</v>
      </c>
      <c r="F22" s="2" t="n">
        <v>1</v>
      </c>
      <c r="G22" s="2" t="s">
        <v>1031</v>
      </c>
    </row>
    <row r="23" customFormat="false" ht="15" hidden="false" customHeight="false" outlineLevel="0" collapsed="false">
      <c r="A23" s="2" t="s">
        <v>1032</v>
      </c>
      <c r="B23" s="2" t="s">
        <v>884</v>
      </c>
      <c r="C23" s="2" t="s">
        <v>1033</v>
      </c>
      <c r="D23" s="2" t="s">
        <v>983</v>
      </c>
      <c r="E23" s="2" t="s">
        <v>221</v>
      </c>
      <c r="F23" s="2" t="n">
        <v>1</v>
      </c>
      <c r="G23" s="2" t="s">
        <v>1034</v>
      </c>
    </row>
    <row r="24" customFormat="false" ht="15" hidden="false" customHeight="false" outlineLevel="0" collapsed="false">
      <c r="A24" s="2" t="s">
        <v>1035</v>
      </c>
      <c r="B24" s="2" t="s">
        <v>884</v>
      </c>
      <c r="C24" s="2" t="s">
        <v>1033</v>
      </c>
      <c r="D24" s="2" t="s">
        <v>986</v>
      </c>
      <c r="E24" s="2" t="s">
        <v>262</v>
      </c>
      <c r="F24" s="2" t="n">
        <v>1</v>
      </c>
      <c r="G24" s="2" t="s">
        <v>1036</v>
      </c>
    </row>
    <row r="25" customFormat="false" ht="15" hidden="false" customHeight="false" outlineLevel="0" collapsed="false">
      <c r="A25" s="2" t="s">
        <v>1037</v>
      </c>
      <c r="B25" s="2" t="s">
        <v>884</v>
      </c>
      <c r="C25" s="2" t="s">
        <v>1033</v>
      </c>
      <c r="D25" s="2" t="s">
        <v>989</v>
      </c>
      <c r="E25" s="2" t="s">
        <v>341</v>
      </c>
      <c r="F25" s="2" t="n">
        <v>1</v>
      </c>
      <c r="G25" s="2" t="s">
        <v>1038</v>
      </c>
    </row>
    <row r="26" customFormat="false" ht="15" hidden="false" customHeight="false" outlineLevel="0" collapsed="false">
      <c r="A26" s="2" t="s">
        <v>1039</v>
      </c>
      <c r="B26" s="2" t="s">
        <v>884</v>
      </c>
      <c r="C26" s="2" t="s">
        <v>1033</v>
      </c>
      <c r="D26" s="2" t="s">
        <v>992</v>
      </c>
      <c r="E26" s="2" t="s">
        <v>477</v>
      </c>
      <c r="F26" s="2" t="n">
        <v>1</v>
      </c>
      <c r="G26" s="2" t="s">
        <v>1040</v>
      </c>
    </row>
    <row r="27" customFormat="false" ht="15" hidden="false" customHeight="false" outlineLevel="0" collapsed="false">
      <c r="A27" s="2" t="s">
        <v>1041</v>
      </c>
      <c r="B27" s="2" t="s">
        <v>884</v>
      </c>
      <c r="C27" s="2" t="s">
        <v>1033</v>
      </c>
      <c r="D27" s="2" t="s">
        <v>992</v>
      </c>
      <c r="E27" s="2" t="s">
        <v>496</v>
      </c>
      <c r="F27" s="2" t="n">
        <v>1</v>
      </c>
      <c r="G27" s="2" t="s">
        <v>1040</v>
      </c>
    </row>
    <row r="28" customFormat="false" ht="15" hidden="false" customHeight="false" outlineLevel="0" collapsed="false">
      <c r="A28" s="2" t="s">
        <v>1042</v>
      </c>
      <c r="B28" s="2" t="s">
        <v>884</v>
      </c>
      <c r="C28" s="2" t="s">
        <v>1043</v>
      </c>
      <c r="D28" s="2" t="s">
        <v>983</v>
      </c>
      <c r="E28" s="2" t="s">
        <v>484</v>
      </c>
      <c r="F28" s="2" t="n">
        <v>1</v>
      </c>
      <c r="G28" s="2" t="s">
        <v>1044</v>
      </c>
    </row>
    <row r="29" customFormat="false" ht="15" hidden="false" customHeight="false" outlineLevel="0" collapsed="false">
      <c r="A29" s="2" t="s">
        <v>1045</v>
      </c>
      <c r="B29" s="2" t="s">
        <v>884</v>
      </c>
      <c r="C29" s="2" t="s">
        <v>1043</v>
      </c>
      <c r="D29" s="2" t="s">
        <v>986</v>
      </c>
      <c r="E29" s="2" t="s">
        <v>329</v>
      </c>
      <c r="F29" s="2" t="n">
        <v>1</v>
      </c>
      <c r="G29" s="2" t="s">
        <v>1046</v>
      </c>
    </row>
    <row r="30" customFormat="false" ht="15" hidden="false" customHeight="false" outlineLevel="0" collapsed="false">
      <c r="A30" s="2" t="s">
        <v>1047</v>
      </c>
      <c r="B30" s="2" t="s">
        <v>884</v>
      </c>
      <c r="C30" s="2" t="s">
        <v>1043</v>
      </c>
      <c r="D30" s="2" t="s">
        <v>989</v>
      </c>
      <c r="E30" s="2" t="s">
        <v>418</v>
      </c>
      <c r="F30" s="2" t="n">
        <v>1</v>
      </c>
      <c r="G30" s="2" t="s">
        <v>1048</v>
      </c>
    </row>
    <row r="31" customFormat="false" ht="15" hidden="false" customHeight="false" outlineLevel="0" collapsed="false">
      <c r="A31" s="2" t="s">
        <v>1049</v>
      </c>
      <c r="B31" s="2" t="s">
        <v>884</v>
      </c>
      <c r="C31" s="2" t="s">
        <v>1043</v>
      </c>
      <c r="D31" s="2" t="s">
        <v>992</v>
      </c>
      <c r="E31" s="2" t="s">
        <v>459</v>
      </c>
      <c r="F31" s="2" t="n">
        <v>1</v>
      </c>
      <c r="G31" s="2" t="s">
        <v>1050</v>
      </c>
    </row>
    <row r="32" customFormat="false" ht="15" hidden="false" customHeight="false" outlineLevel="0" collapsed="false">
      <c r="A32" s="2" t="s">
        <v>1051</v>
      </c>
      <c r="B32" s="2" t="s">
        <v>884</v>
      </c>
      <c r="C32" s="2" t="s">
        <v>1052</v>
      </c>
      <c r="D32" s="2" t="s">
        <v>983</v>
      </c>
      <c r="E32" s="2" t="s">
        <v>262</v>
      </c>
      <c r="F32" s="2" t="n">
        <v>1</v>
      </c>
      <c r="G32" s="2" t="s">
        <v>1053</v>
      </c>
    </row>
    <row r="33" customFormat="false" ht="15" hidden="false" customHeight="false" outlineLevel="0" collapsed="false">
      <c r="A33" s="2" t="s">
        <v>1054</v>
      </c>
      <c r="B33" s="2" t="s">
        <v>884</v>
      </c>
      <c r="C33" s="2" t="s">
        <v>1052</v>
      </c>
      <c r="D33" s="2" t="s">
        <v>986</v>
      </c>
      <c r="E33" s="2" t="s">
        <v>357</v>
      </c>
      <c r="F33" s="2" t="n">
        <v>1</v>
      </c>
      <c r="G33" s="2" t="s">
        <v>1055</v>
      </c>
    </row>
    <row r="34" customFormat="false" ht="15" hidden="false" customHeight="false" outlineLevel="0" collapsed="false">
      <c r="A34" s="2" t="s">
        <v>1056</v>
      </c>
      <c r="B34" s="2" t="s">
        <v>884</v>
      </c>
      <c r="C34" s="2" t="s">
        <v>1052</v>
      </c>
      <c r="D34" s="2" t="s">
        <v>989</v>
      </c>
      <c r="E34" s="2" t="s">
        <v>262</v>
      </c>
      <c r="F34" s="2" t="n">
        <v>1</v>
      </c>
      <c r="G34" s="2" t="s">
        <v>1057</v>
      </c>
    </row>
    <row r="35" customFormat="false" ht="15" hidden="false" customHeight="false" outlineLevel="0" collapsed="false">
      <c r="A35" s="2" t="s">
        <v>1058</v>
      </c>
      <c r="B35" s="2" t="s">
        <v>884</v>
      </c>
      <c r="C35" s="2" t="s">
        <v>1052</v>
      </c>
      <c r="D35" s="2" t="s">
        <v>992</v>
      </c>
      <c r="E35" s="2" t="s">
        <v>466</v>
      </c>
      <c r="F35" s="2" t="n">
        <v>1</v>
      </c>
      <c r="G35" s="2" t="s">
        <v>1059</v>
      </c>
    </row>
    <row r="36" customFormat="false" ht="15" hidden="false" customHeight="false" outlineLevel="0" collapsed="false">
      <c r="A36" s="2" t="s">
        <v>1060</v>
      </c>
      <c r="B36" s="2" t="s">
        <v>884</v>
      </c>
      <c r="C36" s="2" t="s">
        <v>1061</v>
      </c>
      <c r="D36" s="2" t="s">
        <v>983</v>
      </c>
      <c r="E36" s="2" t="s">
        <v>484</v>
      </c>
      <c r="F36" s="2" t="n">
        <v>1</v>
      </c>
      <c r="G36" s="2" t="s">
        <v>1062</v>
      </c>
    </row>
    <row r="37" customFormat="false" ht="15" hidden="false" customHeight="false" outlineLevel="0" collapsed="false">
      <c r="A37" s="2" t="s">
        <v>1063</v>
      </c>
      <c r="B37" s="2" t="s">
        <v>884</v>
      </c>
      <c r="C37" s="2" t="s">
        <v>1061</v>
      </c>
      <c r="D37" s="2" t="s">
        <v>986</v>
      </c>
      <c r="E37" s="2" t="s">
        <v>211</v>
      </c>
      <c r="F37" s="2" t="n">
        <v>1</v>
      </c>
      <c r="G37" s="2" t="s">
        <v>1064</v>
      </c>
    </row>
    <row r="38" customFormat="false" ht="15" hidden="false" customHeight="false" outlineLevel="0" collapsed="false">
      <c r="A38" s="2" t="s">
        <v>1065</v>
      </c>
      <c r="B38" s="2" t="s">
        <v>884</v>
      </c>
      <c r="C38" s="2" t="s">
        <v>1061</v>
      </c>
      <c r="D38" s="2" t="s">
        <v>989</v>
      </c>
      <c r="E38" s="2" t="s">
        <v>399</v>
      </c>
      <c r="F38" s="2" t="n">
        <v>1</v>
      </c>
      <c r="G38" s="2" t="s">
        <v>1066</v>
      </c>
    </row>
    <row r="39" customFormat="false" ht="15" hidden="false" customHeight="false" outlineLevel="0" collapsed="false">
      <c r="A39" s="2" t="s">
        <v>1067</v>
      </c>
      <c r="B39" s="2" t="s">
        <v>884</v>
      </c>
      <c r="C39" s="2" t="s">
        <v>1061</v>
      </c>
      <c r="D39" s="2" t="s">
        <v>992</v>
      </c>
      <c r="E39" s="2" t="s">
        <v>477</v>
      </c>
      <c r="F39" s="2" t="n">
        <v>1</v>
      </c>
      <c r="G39" s="2" t="s">
        <v>1068</v>
      </c>
    </row>
    <row r="40" customFormat="false" ht="15" hidden="false" customHeight="false" outlineLevel="0" collapsed="false">
      <c r="A40" s="2" t="s">
        <v>1069</v>
      </c>
      <c r="B40" s="2" t="s">
        <v>884</v>
      </c>
      <c r="C40" s="2" t="s">
        <v>1061</v>
      </c>
      <c r="D40" s="2" t="s">
        <v>992</v>
      </c>
      <c r="E40" s="2" t="s">
        <v>472</v>
      </c>
      <c r="F40" s="2" t="n">
        <v>1</v>
      </c>
      <c r="G40" s="2" t="s">
        <v>1068</v>
      </c>
    </row>
    <row r="41" customFormat="false" ht="15" hidden="false" customHeight="false" outlineLevel="0" collapsed="false">
      <c r="A41" s="2" t="s">
        <v>1070</v>
      </c>
      <c r="B41" s="2" t="s">
        <v>884</v>
      </c>
      <c r="C41" s="2" t="s">
        <v>1071</v>
      </c>
      <c r="D41" s="2" t="s">
        <v>986</v>
      </c>
      <c r="E41" s="2" t="s">
        <v>335</v>
      </c>
      <c r="F41" s="2" t="n">
        <v>1</v>
      </c>
      <c r="G41" s="2" t="s">
        <v>1072</v>
      </c>
    </row>
    <row r="42" customFormat="false" ht="15" hidden="false" customHeight="false" outlineLevel="0" collapsed="false">
      <c r="A42" s="2" t="s">
        <v>1073</v>
      </c>
      <c r="B42" s="2" t="s">
        <v>884</v>
      </c>
      <c r="C42" s="2" t="s">
        <v>1071</v>
      </c>
      <c r="D42" s="2" t="s">
        <v>989</v>
      </c>
      <c r="E42" s="2" t="s">
        <v>245</v>
      </c>
      <c r="F42" s="2" t="n">
        <v>1</v>
      </c>
      <c r="G42" s="2" t="s">
        <v>1074</v>
      </c>
    </row>
    <row r="43" customFormat="false" ht="15" hidden="false" customHeight="false" outlineLevel="0" collapsed="false">
      <c r="A43" s="2" t="s">
        <v>1075</v>
      </c>
      <c r="B43" s="2" t="s">
        <v>884</v>
      </c>
      <c r="C43" s="2" t="s">
        <v>220</v>
      </c>
      <c r="D43" s="2" t="s">
        <v>983</v>
      </c>
      <c r="E43" s="2" t="s">
        <v>286</v>
      </c>
      <c r="F43" s="2" t="n">
        <v>1</v>
      </c>
      <c r="G43" s="2" t="s">
        <v>1076</v>
      </c>
    </row>
    <row r="44" customFormat="false" ht="15" hidden="false" customHeight="false" outlineLevel="0" collapsed="false">
      <c r="A44" s="2" t="s">
        <v>1077</v>
      </c>
      <c r="B44" s="2" t="s">
        <v>884</v>
      </c>
      <c r="C44" s="2" t="s">
        <v>220</v>
      </c>
      <c r="D44" s="2" t="s">
        <v>986</v>
      </c>
      <c r="E44" s="2" t="s">
        <v>245</v>
      </c>
      <c r="F44" s="2" t="n">
        <v>1</v>
      </c>
      <c r="G44" s="2" t="s">
        <v>1078</v>
      </c>
    </row>
    <row r="45" customFormat="false" ht="15" hidden="false" customHeight="false" outlineLevel="0" collapsed="false">
      <c r="A45" s="2" t="s">
        <v>1079</v>
      </c>
      <c r="B45" s="2" t="s">
        <v>884</v>
      </c>
      <c r="C45" s="2" t="s">
        <v>220</v>
      </c>
      <c r="D45" s="2" t="s">
        <v>989</v>
      </c>
      <c r="E45" s="2" t="s">
        <v>233</v>
      </c>
      <c r="F45" s="2" t="n">
        <v>1</v>
      </c>
      <c r="G45" s="2" t="s">
        <v>1080</v>
      </c>
    </row>
    <row r="46" customFormat="false" ht="15" hidden="false" customHeight="false" outlineLevel="0" collapsed="false">
      <c r="A46" s="2" t="s">
        <v>1081</v>
      </c>
      <c r="B46" s="2" t="s">
        <v>884</v>
      </c>
      <c r="C46" s="2" t="s">
        <v>220</v>
      </c>
      <c r="D46" s="2" t="s">
        <v>992</v>
      </c>
      <c r="E46" s="2" t="s">
        <v>459</v>
      </c>
      <c r="F46" s="2" t="n">
        <v>1</v>
      </c>
      <c r="G46" s="2" t="s">
        <v>1082</v>
      </c>
    </row>
    <row r="47" customFormat="false" ht="15" hidden="false" customHeight="false" outlineLevel="0" collapsed="false">
      <c r="A47" s="2" t="s">
        <v>1083</v>
      </c>
      <c r="B47" s="2" t="s">
        <v>884</v>
      </c>
      <c r="C47" s="2" t="s">
        <v>220</v>
      </c>
      <c r="D47" s="2" t="s">
        <v>992</v>
      </c>
      <c r="E47" s="2" t="s">
        <v>466</v>
      </c>
      <c r="F47" s="2" t="n">
        <v>1</v>
      </c>
      <c r="G47" s="2" t="s">
        <v>1082</v>
      </c>
    </row>
    <row r="48" customFormat="false" ht="15" hidden="false" customHeight="false" outlineLevel="0" collapsed="false">
      <c r="A48" s="2" t="s">
        <v>1084</v>
      </c>
      <c r="B48" s="2" t="s">
        <v>890</v>
      </c>
      <c r="C48" s="2" t="s">
        <v>1085</v>
      </c>
      <c r="D48" s="2" t="s">
        <v>983</v>
      </c>
      <c r="E48" s="2" t="s">
        <v>347</v>
      </c>
      <c r="F48" s="2" t="n">
        <v>1</v>
      </c>
      <c r="G48" s="2" t="s">
        <v>1086</v>
      </c>
    </row>
    <row r="49" customFormat="false" ht="15" hidden="false" customHeight="false" outlineLevel="0" collapsed="false">
      <c r="A49" s="2" t="s">
        <v>1087</v>
      </c>
      <c r="B49" s="2" t="s">
        <v>890</v>
      </c>
      <c r="C49" s="2" t="s">
        <v>1085</v>
      </c>
      <c r="D49" s="2" t="s">
        <v>986</v>
      </c>
      <c r="E49" s="2" t="s">
        <v>386</v>
      </c>
      <c r="F49" s="2" t="n">
        <v>1</v>
      </c>
      <c r="G49" s="2" t="s">
        <v>1088</v>
      </c>
    </row>
    <row r="50" customFormat="false" ht="15" hidden="false" customHeight="false" outlineLevel="0" collapsed="false">
      <c r="A50" s="2" t="s">
        <v>1089</v>
      </c>
      <c r="B50" s="2" t="s">
        <v>890</v>
      </c>
      <c r="C50" s="2" t="s">
        <v>1085</v>
      </c>
      <c r="D50" s="2" t="s">
        <v>989</v>
      </c>
      <c r="E50" s="2" t="s">
        <v>323</v>
      </c>
      <c r="F50" s="2" t="n">
        <v>1</v>
      </c>
      <c r="G50" s="2" t="s">
        <v>1090</v>
      </c>
    </row>
    <row r="51" customFormat="false" ht="15" hidden="false" customHeight="false" outlineLevel="0" collapsed="false">
      <c r="A51" s="2" t="s">
        <v>1091</v>
      </c>
      <c r="B51" s="2" t="s">
        <v>890</v>
      </c>
      <c r="C51" s="2" t="s">
        <v>1085</v>
      </c>
      <c r="D51" s="2" t="s">
        <v>992</v>
      </c>
      <c r="E51" s="2" t="s">
        <v>369</v>
      </c>
      <c r="F51" s="2" t="n">
        <v>1</v>
      </c>
      <c r="G51" s="2" t="s">
        <v>1092</v>
      </c>
    </row>
    <row r="52" customFormat="false" ht="15" hidden="false" customHeight="false" outlineLevel="0" collapsed="false">
      <c r="A52" s="2" t="s">
        <v>1093</v>
      </c>
      <c r="B52" s="2" t="s">
        <v>890</v>
      </c>
      <c r="C52" s="2" t="s">
        <v>982</v>
      </c>
      <c r="D52" s="2" t="s">
        <v>983</v>
      </c>
      <c r="E52" s="2" t="s">
        <v>268</v>
      </c>
      <c r="F52" s="2" t="n">
        <v>1</v>
      </c>
      <c r="G52" s="2" t="s">
        <v>984</v>
      </c>
    </row>
    <row r="53" customFormat="false" ht="15" hidden="false" customHeight="false" outlineLevel="0" collapsed="false">
      <c r="A53" s="2" t="s">
        <v>1094</v>
      </c>
      <c r="B53" s="2" t="s">
        <v>890</v>
      </c>
      <c r="C53" s="2" t="s">
        <v>982</v>
      </c>
      <c r="D53" s="2" t="s">
        <v>986</v>
      </c>
      <c r="E53" s="2" t="s">
        <v>227</v>
      </c>
      <c r="F53" s="2" t="n">
        <v>1</v>
      </c>
      <c r="G53" s="2" t="s">
        <v>987</v>
      </c>
    </row>
    <row r="54" customFormat="false" ht="15" hidden="false" customHeight="false" outlineLevel="0" collapsed="false">
      <c r="A54" s="2" t="s">
        <v>1095</v>
      </c>
      <c r="B54" s="2" t="s">
        <v>890</v>
      </c>
      <c r="C54" s="2" t="s">
        <v>982</v>
      </c>
      <c r="D54" s="2" t="s">
        <v>989</v>
      </c>
      <c r="E54" s="2" t="s">
        <v>286</v>
      </c>
      <c r="F54" s="2" t="n">
        <v>1</v>
      </c>
      <c r="G54" s="2" t="s">
        <v>990</v>
      </c>
    </row>
    <row r="55" customFormat="false" ht="15" hidden="false" customHeight="false" outlineLevel="0" collapsed="false">
      <c r="A55" s="2" t="s">
        <v>1096</v>
      </c>
      <c r="B55" s="2" t="s">
        <v>890</v>
      </c>
      <c r="C55" s="2" t="s">
        <v>982</v>
      </c>
      <c r="D55" s="2" t="s">
        <v>992</v>
      </c>
      <c r="E55" s="2" t="s">
        <v>466</v>
      </c>
      <c r="F55" s="2" t="n">
        <v>1</v>
      </c>
      <c r="G55" s="2" t="s">
        <v>993</v>
      </c>
    </row>
    <row r="56" customFormat="false" ht="15" hidden="false" customHeight="false" outlineLevel="0" collapsed="false">
      <c r="A56" s="2" t="s">
        <v>1097</v>
      </c>
      <c r="B56" s="2" t="s">
        <v>890</v>
      </c>
      <c r="C56" s="2" t="s">
        <v>982</v>
      </c>
      <c r="D56" s="2" t="s">
        <v>992</v>
      </c>
      <c r="E56" s="2" t="s">
        <v>369</v>
      </c>
      <c r="F56" s="2" t="n">
        <v>1</v>
      </c>
      <c r="G56" s="2" t="s">
        <v>993</v>
      </c>
    </row>
    <row r="57" customFormat="false" ht="15" hidden="false" customHeight="false" outlineLevel="0" collapsed="false">
      <c r="A57" s="2" t="s">
        <v>1098</v>
      </c>
      <c r="B57" s="2" t="s">
        <v>890</v>
      </c>
      <c r="C57" s="2" t="s">
        <v>996</v>
      </c>
      <c r="D57" s="2" t="s">
        <v>983</v>
      </c>
      <c r="E57" s="2" t="s">
        <v>250</v>
      </c>
      <c r="F57" s="2" t="n">
        <v>1</v>
      </c>
      <c r="G57" s="2" t="s">
        <v>997</v>
      </c>
    </row>
    <row r="58" customFormat="false" ht="15" hidden="false" customHeight="false" outlineLevel="0" collapsed="false">
      <c r="A58" s="2" t="s">
        <v>1099</v>
      </c>
      <c r="B58" s="2" t="s">
        <v>890</v>
      </c>
      <c r="C58" s="2" t="s">
        <v>996</v>
      </c>
      <c r="D58" s="2" t="s">
        <v>989</v>
      </c>
      <c r="E58" s="2" t="s">
        <v>418</v>
      </c>
      <c r="F58" s="2" t="n">
        <v>1</v>
      </c>
      <c r="G58" s="2" t="s">
        <v>1001</v>
      </c>
    </row>
    <row r="59" customFormat="false" ht="15" hidden="false" customHeight="false" outlineLevel="0" collapsed="false">
      <c r="A59" s="2" t="s">
        <v>1100</v>
      </c>
      <c r="B59" s="2" t="s">
        <v>890</v>
      </c>
      <c r="C59" s="2" t="s">
        <v>1003</v>
      </c>
      <c r="D59" s="2" t="s">
        <v>983</v>
      </c>
      <c r="E59" s="2" t="s">
        <v>274</v>
      </c>
      <c r="F59" s="2" t="n">
        <v>1</v>
      </c>
      <c r="G59" s="2" t="s">
        <v>1004</v>
      </c>
    </row>
    <row r="60" customFormat="false" ht="15" hidden="false" customHeight="false" outlineLevel="0" collapsed="false">
      <c r="A60" s="2" t="s">
        <v>1101</v>
      </c>
      <c r="B60" s="2" t="s">
        <v>890</v>
      </c>
      <c r="C60" s="2" t="s">
        <v>1003</v>
      </c>
      <c r="D60" s="2" t="s">
        <v>986</v>
      </c>
      <c r="E60" s="2" t="s">
        <v>262</v>
      </c>
      <c r="F60" s="2" t="n">
        <v>1</v>
      </c>
      <c r="G60" s="2" t="s">
        <v>1006</v>
      </c>
    </row>
    <row r="61" customFormat="false" ht="15" hidden="false" customHeight="false" outlineLevel="0" collapsed="false">
      <c r="A61" s="2" t="s">
        <v>1102</v>
      </c>
      <c r="B61" s="2" t="s">
        <v>890</v>
      </c>
      <c r="C61" s="2" t="s">
        <v>1003</v>
      </c>
      <c r="D61" s="2" t="s">
        <v>992</v>
      </c>
      <c r="E61" s="2" t="s">
        <v>484</v>
      </c>
      <c r="F61" s="2" t="n">
        <v>1</v>
      </c>
      <c r="G61" s="2" t="s">
        <v>1103</v>
      </c>
    </row>
    <row r="62" customFormat="false" ht="15" hidden="false" customHeight="false" outlineLevel="0" collapsed="false">
      <c r="A62" s="2" t="s">
        <v>1104</v>
      </c>
      <c r="B62" s="2" t="s">
        <v>890</v>
      </c>
      <c r="C62" s="2" t="s">
        <v>1010</v>
      </c>
      <c r="D62" s="2" t="s">
        <v>983</v>
      </c>
      <c r="E62" s="2" t="s">
        <v>459</v>
      </c>
      <c r="F62" s="2" t="n">
        <v>1</v>
      </c>
      <c r="G62" s="2" t="s">
        <v>1011</v>
      </c>
    </row>
    <row r="63" customFormat="false" ht="15" hidden="false" customHeight="false" outlineLevel="0" collapsed="false">
      <c r="A63" s="2" t="s">
        <v>1105</v>
      </c>
      <c r="B63" s="2" t="s">
        <v>890</v>
      </c>
      <c r="C63" s="2" t="s">
        <v>1010</v>
      </c>
      <c r="D63" s="2" t="s">
        <v>986</v>
      </c>
      <c r="E63" s="2" t="s">
        <v>250</v>
      </c>
      <c r="F63" s="2" t="n">
        <v>1</v>
      </c>
      <c r="G63" s="2" t="s">
        <v>1013</v>
      </c>
    </row>
    <row r="64" customFormat="false" ht="15" hidden="false" customHeight="false" outlineLevel="0" collapsed="false">
      <c r="A64" s="2" t="s">
        <v>1106</v>
      </c>
      <c r="B64" s="2" t="s">
        <v>890</v>
      </c>
      <c r="C64" s="2" t="s">
        <v>1019</v>
      </c>
      <c r="D64" s="2" t="s">
        <v>983</v>
      </c>
      <c r="E64" s="2" t="s">
        <v>459</v>
      </c>
      <c r="F64" s="2" t="n">
        <v>1</v>
      </c>
      <c r="G64" s="2" t="s">
        <v>1107</v>
      </c>
    </row>
    <row r="65" customFormat="false" ht="15" hidden="false" customHeight="false" outlineLevel="0" collapsed="false">
      <c r="A65" s="2" t="s">
        <v>1108</v>
      </c>
      <c r="B65" s="2" t="s">
        <v>890</v>
      </c>
      <c r="C65" s="2" t="s">
        <v>1019</v>
      </c>
      <c r="D65" s="2" t="s">
        <v>986</v>
      </c>
      <c r="E65" s="2" t="s">
        <v>380</v>
      </c>
      <c r="F65" s="2" t="n">
        <v>1</v>
      </c>
      <c r="G65" s="2" t="s">
        <v>1020</v>
      </c>
    </row>
    <row r="66" customFormat="false" ht="15" hidden="false" customHeight="false" outlineLevel="0" collapsed="false">
      <c r="A66" s="2" t="s">
        <v>1109</v>
      </c>
      <c r="B66" s="2" t="s">
        <v>890</v>
      </c>
      <c r="C66" s="2" t="s">
        <v>1019</v>
      </c>
      <c r="D66" s="2" t="s">
        <v>992</v>
      </c>
      <c r="E66" s="2" t="s">
        <v>484</v>
      </c>
      <c r="F66" s="2" t="n">
        <v>1</v>
      </c>
      <c r="G66" s="2" t="s">
        <v>1024</v>
      </c>
    </row>
    <row r="67" customFormat="false" ht="15" hidden="false" customHeight="false" outlineLevel="0" collapsed="false">
      <c r="A67" s="2" t="s">
        <v>1110</v>
      </c>
      <c r="B67" s="2" t="s">
        <v>890</v>
      </c>
      <c r="C67" s="2" t="s">
        <v>1019</v>
      </c>
      <c r="D67" s="2" t="s">
        <v>992</v>
      </c>
      <c r="E67" s="2" t="s">
        <v>484</v>
      </c>
      <c r="F67" s="2" t="n">
        <v>1</v>
      </c>
      <c r="G67" s="2" t="s">
        <v>1024</v>
      </c>
    </row>
    <row r="68" customFormat="false" ht="15" hidden="false" customHeight="false" outlineLevel="0" collapsed="false">
      <c r="A68" s="2" t="s">
        <v>1111</v>
      </c>
      <c r="B68" s="2" t="s">
        <v>890</v>
      </c>
      <c r="C68" s="2" t="s">
        <v>1026</v>
      </c>
      <c r="D68" s="2" t="s">
        <v>983</v>
      </c>
      <c r="E68" s="2" t="s">
        <v>323</v>
      </c>
      <c r="F68" s="2" t="n">
        <v>1</v>
      </c>
      <c r="G68" s="2" t="s">
        <v>1027</v>
      </c>
    </row>
    <row r="69" customFormat="false" ht="15" hidden="false" customHeight="false" outlineLevel="0" collapsed="false">
      <c r="A69" s="2" t="s">
        <v>1112</v>
      </c>
      <c r="B69" s="2" t="s">
        <v>890</v>
      </c>
      <c r="C69" s="2" t="s">
        <v>1026</v>
      </c>
      <c r="D69" s="2" t="s">
        <v>986</v>
      </c>
      <c r="E69" s="2" t="s">
        <v>304</v>
      </c>
      <c r="F69" s="2" t="n">
        <v>1</v>
      </c>
      <c r="G69" s="2" t="s">
        <v>1029</v>
      </c>
    </row>
    <row r="70" customFormat="false" ht="15" hidden="false" customHeight="false" outlineLevel="0" collapsed="false">
      <c r="A70" s="2" t="s">
        <v>1113</v>
      </c>
      <c r="B70" s="2" t="s">
        <v>890</v>
      </c>
      <c r="C70" s="2" t="s">
        <v>1026</v>
      </c>
      <c r="D70" s="2" t="s">
        <v>992</v>
      </c>
      <c r="E70" s="2" t="s">
        <v>496</v>
      </c>
      <c r="F70" s="2" t="n">
        <v>1</v>
      </c>
      <c r="G70" s="2" t="s">
        <v>1114</v>
      </c>
    </row>
    <row r="71" customFormat="false" ht="15" hidden="false" customHeight="false" outlineLevel="0" collapsed="false">
      <c r="A71" s="2" t="s">
        <v>1115</v>
      </c>
      <c r="B71" s="2" t="s">
        <v>890</v>
      </c>
      <c r="C71" s="2" t="s">
        <v>1033</v>
      </c>
      <c r="D71" s="2" t="s">
        <v>983</v>
      </c>
      <c r="E71" s="2" t="s">
        <v>363</v>
      </c>
      <c r="F71" s="2" t="n">
        <v>1</v>
      </c>
      <c r="G71" s="2" t="s">
        <v>1034</v>
      </c>
    </row>
    <row r="72" customFormat="false" ht="15" hidden="false" customHeight="false" outlineLevel="0" collapsed="false">
      <c r="A72" s="2" t="s">
        <v>1116</v>
      </c>
      <c r="B72" s="2" t="s">
        <v>890</v>
      </c>
      <c r="C72" s="2" t="s">
        <v>1033</v>
      </c>
      <c r="D72" s="2" t="s">
        <v>986</v>
      </c>
      <c r="E72" s="2" t="s">
        <v>256</v>
      </c>
      <c r="F72" s="2" t="n">
        <v>1</v>
      </c>
      <c r="G72" s="2" t="s">
        <v>1036</v>
      </c>
    </row>
    <row r="73" customFormat="false" ht="15" hidden="false" customHeight="false" outlineLevel="0" collapsed="false">
      <c r="A73" s="2" t="s">
        <v>1117</v>
      </c>
      <c r="B73" s="2" t="s">
        <v>890</v>
      </c>
      <c r="C73" s="2" t="s">
        <v>1033</v>
      </c>
      <c r="D73" s="2" t="s">
        <v>989</v>
      </c>
      <c r="E73" s="2" t="s">
        <v>227</v>
      </c>
      <c r="F73" s="2" t="n">
        <v>1</v>
      </c>
      <c r="G73" s="2" t="s">
        <v>1038</v>
      </c>
    </row>
    <row r="74" customFormat="false" ht="15" hidden="false" customHeight="false" outlineLevel="0" collapsed="false">
      <c r="A74" s="2" t="s">
        <v>1118</v>
      </c>
      <c r="B74" s="2" t="s">
        <v>890</v>
      </c>
      <c r="C74" s="2" t="s">
        <v>1043</v>
      </c>
      <c r="D74" s="2" t="s">
        <v>983</v>
      </c>
      <c r="E74" s="2" t="s">
        <v>256</v>
      </c>
      <c r="F74" s="2" t="n">
        <v>1</v>
      </c>
      <c r="G74" s="2" t="s">
        <v>1044</v>
      </c>
    </row>
    <row r="75" customFormat="false" ht="15" hidden="false" customHeight="false" outlineLevel="0" collapsed="false">
      <c r="A75" s="2" t="s">
        <v>1119</v>
      </c>
      <c r="B75" s="2" t="s">
        <v>890</v>
      </c>
      <c r="C75" s="2" t="s">
        <v>1043</v>
      </c>
      <c r="D75" s="2" t="s">
        <v>986</v>
      </c>
      <c r="E75" s="2" t="s">
        <v>274</v>
      </c>
      <c r="F75" s="2" t="n">
        <v>1</v>
      </c>
      <c r="G75" s="2" t="s">
        <v>1046</v>
      </c>
    </row>
    <row r="76" customFormat="false" ht="15" hidden="false" customHeight="false" outlineLevel="0" collapsed="false">
      <c r="A76" s="2" t="s">
        <v>1120</v>
      </c>
      <c r="B76" s="2" t="s">
        <v>890</v>
      </c>
      <c r="C76" s="2" t="s">
        <v>1043</v>
      </c>
      <c r="D76" s="2" t="s">
        <v>989</v>
      </c>
      <c r="E76" s="2" t="s">
        <v>347</v>
      </c>
      <c r="F76" s="2" t="n">
        <v>1</v>
      </c>
      <c r="G76" s="2" t="s">
        <v>1048</v>
      </c>
    </row>
    <row r="77" customFormat="false" ht="15" hidden="false" customHeight="false" outlineLevel="0" collapsed="false">
      <c r="A77" s="2" t="s">
        <v>1121</v>
      </c>
      <c r="B77" s="2" t="s">
        <v>890</v>
      </c>
      <c r="C77" s="2" t="s">
        <v>1043</v>
      </c>
      <c r="D77" s="2" t="s">
        <v>992</v>
      </c>
      <c r="E77" s="2" t="s">
        <v>477</v>
      </c>
      <c r="F77" s="2" t="n">
        <v>1</v>
      </c>
      <c r="G77" s="2" t="s">
        <v>1050</v>
      </c>
    </row>
    <row r="78" customFormat="false" ht="15" hidden="false" customHeight="false" outlineLevel="0" collapsed="false">
      <c r="A78" s="2" t="s">
        <v>1122</v>
      </c>
      <c r="B78" s="2" t="s">
        <v>890</v>
      </c>
      <c r="C78" s="2" t="s">
        <v>1043</v>
      </c>
      <c r="D78" s="2" t="s">
        <v>992</v>
      </c>
      <c r="E78" s="2" t="s">
        <v>335</v>
      </c>
      <c r="F78" s="2" t="n">
        <v>1</v>
      </c>
      <c r="G78" s="2" t="s">
        <v>1050</v>
      </c>
    </row>
    <row r="79" customFormat="false" ht="15" hidden="false" customHeight="false" outlineLevel="0" collapsed="false">
      <c r="A79" s="2" t="s">
        <v>1123</v>
      </c>
      <c r="B79" s="2" t="s">
        <v>890</v>
      </c>
      <c r="C79" s="2" t="s">
        <v>1052</v>
      </c>
      <c r="D79" s="2" t="s">
        <v>986</v>
      </c>
      <c r="E79" s="2" t="s">
        <v>245</v>
      </c>
      <c r="F79" s="2" t="n">
        <v>1</v>
      </c>
      <c r="G79" s="2" t="s">
        <v>1055</v>
      </c>
    </row>
    <row r="80" customFormat="false" ht="15" hidden="false" customHeight="false" outlineLevel="0" collapsed="false">
      <c r="A80" s="2" t="s">
        <v>1124</v>
      </c>
      <c r="B80" s="2" t="s">
        <v>890</v>
      </c>
      <c r="C80" s="2" t="s">
        <v>1052</v>
      </c>
      <c r="D80" s="2" t="s">
        <v>989</v>
      </c>
      <c r="E80" s="2" t="s">
        <v>386</v>
      </c>
      <c r="F80" s="2" t="n">
        <v>1</v>
      </c>
      <c r="G80" s="2" t="s">
        <v>1057</v>
      </c>
    </row>
    <row r="81" customFormat="false" ht="15" hidden="false" customHeight="false" outlineLevel="0" collapsed="false">
      <c r="A81" s="2" t="s">
        <v>1125</v>
      </c>
      <c r="B81" s="2" t="s">
        <v>890</v>
      </c>
      <c r="C81" s="2" t="s">
        <v>1052</v>
      </c>
      <c r="D81" s="2" t="s">
        <v>992</v>
      </c>
      <c r="E81" s="2" t="s">
        <v>466</v>
      </c>
      <c r="F81" s="2" t="n">
        <v>1</v>
      </c>
      <c r="G81" s="2" t="s">
        <v>1059</v>
      </c>
    </row>
    <row r="82" customFormat="false" ht="15" hidden="false" customHeight="false" outlineLevel="0" collapsed="false">
      <c r="A82" s="2" t="s">
        <v>1126</v>
      </c>
      <c r="B82" s="2" t="s">
        <v>890</v>
      </c>
      <c r="C82" s="2" t="s">
        <v>1052</v>
      </c>
      <c r="D82" s="2" t="s">
        <v>992</v>
      </c>
      <c r="E82" s="2" t="s">
        <v>369</v>
      </c>
      <c r="F82" s="2" t="n">
        <v>1</v>
      </c>
      <c r="G82" s="2" t="s">
        <v>1059</v>
      </c>
    </row>
    <row r="83" customFormat="false" ht="15" hidden="false" customHeight="false" outlineLevel="0" collapsed="false">
      <c r="A83" s="2" t="s">
        <v>1127</v>
      </c>
      <c r="B83" s="2" t="s">
        <v>890</v>
      </c>
      <c r="C83" s="2" t="s">
        <v>1128</v>
      </c>
      <c r="D83" s="2" t="s">
        <v>983</v>
      </c>
      <c r="E83" s="2" t="s">
        <v>221</v>
      </c>
      <c r="F83" s="2" t="n">
        <v>1</v>
      </c>
      <c r="G83" s="2" t="s">
        <v>1129</v>
      </c>
    </row>
    <row r="84" customFormat="false" ht="15" hidden="false" customHeight="false" outlineLevel="0" collapsed="false">
      <c r="A84" s="2" t="s">
        <v>1130</v>
      </c>
      <c r="B84" s="2" t="s">
        <v>890</v>
      </c>
      <c r="C84" s="2" t="s">
        <v>1128</v>
      </c>
      <c r="D84" s="2" t="s">
        <v>986</v>
      </c>
      <c r="E84" s="2" t="s">
        <v>335</v>
      </c>
      <c r="F84" s="2" t="n">
        <v>1</v>
      </c>
      <c r="G84" s="2" t="s">
        <v>1131</v>
      </c>
    </row>
    <row r="85" customFormat="false" ht="15" hidden="false" customHeight="false" outlineLevel="0" collapsed="false">
      <c r="A85" s="2" t="s">
        <v>1132</v>
      </c>
      <c r="B85" s="2" t="s">
        <v>890</v>
      </c>
      <c r="C85" s="2" t="s">
        <v>1128</v>
      </c>
      <c r="D85" s="2" t="s">
        <v>989</v>
      </c>
      <c r="E85" s="2" t="s">
        <v>239</v>
      </c>
      <c r="F85" s="2" t="n">
        <v>1</v>
      </c>
      <c r="G85" s="2" t="s">
        <v>1133</v>
      </c>
    </row>
    <row r="86" customFormat="false" ht="15" hidden="false" customHeight="false" outlineLevel="0" collapsed="false">
      <c r="A86" s="2" t="s">
        <v>1134</v>
      </c>
      <c r="B86" s="2" t="s">
        <v>890</v>
      </c>
      <c r="C86" s="2" t="s">
        <v>1128</v>
      </c>
      <c r="D86" s="2" t="s">
        <v>992</v>
      </c>
      <c r="E86" s="2" t="s">
        <v>496</v>
      </c>
      <c r="F86" s="2" t="n">
        <v>1</v>
      </c>
      <c r="G86" s="2" t="s">
        <v>1135</v>
      </c>
    </row>
    <row r="87" customFormat="false" ht="15" hidden="false" customHeight="false" outlineLevel="0" collapsed="false">
      <c r="A87" s="2" t="s">
        <v>1136</v>
      </c>
      <c r="B87" s="2" t="s">
        <v>890</v>
      </c>
      <c r="C87" s="2" t="s">
        <v>1128</v>
      </c>
      <c r="D87" s="2" t="s">
        <v>992</v>
      </c>
      <c r="E87" s="2" t="s">
        <v>335</v>
      </c>
      <c r="F87" s="2" t="n">
        <v>1</v>
      </c>
      <c r="G87" s="2" t="s">
        <v>1135</v>
      </c>
    </row>
    <row r="88" customFormat="false" ht="15" hidden="false" customHeight="false" outlineLevel="0" collapsed="false">
      <c r="A88" s="2" t="s">
        <v>1137</v>
      </c>
      <c r="B88" s="2" t="s">
        <v>890</v>
      </c>
      <c r="C88" s="2" t="s">
        <v>1071</v>
      </c>
      <c r="D88" s="2" t="s">
        <v>983</v>
      </c>
      <c r="E88" s="2" t="s">
        <v>256</v>
      </c>
      <c r="F88" s="2" t="n">
        <v>1</v>
      </c>
      <c r="G88" s="2" t="s">
        <v>1138</v>
      </c>
    </row>
    <row r="89" customFormat="false" ht="15" hidden="false" customHeight="false" outlineLevel="0" collapsed="false">
      <c r="A89" s="2" t="s">
        <v>1139</v>
      </c>
      <c r="B89" s="2" t="s">
        <v>890</v>
      </c>
      <c r="C89" s="2" t="s">
        <v>1071</v>
      </c>
      <c r="D89" s="2" t="s">
        <v>986</v>
      </c>
      <c r="E89" s="2" t="s">
        <v>374</v>
      </c>
      <c r="F89" s="2" t="n">
        <v>1</v>
      </c>
      <c r="G89" s="2" t="s">
        <v>1072</v>
      </c>
    </row>
    <row r="90" customFormat="false" ht="15" hidden="false" customHeight="false" outlineLevel="0" collapsed="false">
      <c r="A90" s="2" t="s">
        <v>1140</v>
      </c>
      <c r="B90" s="2" t="s">
        <v>890</v>
      </c>
      <c r="C90" s="2" t="s">
        <v>1071</v>
      </c>
      <c r="D90" s="2" t="s">
        <v>992</v>
      </c>
      <c r="E90" s="2" t="s">
        <v>459</v>
      </c>
      <c r="F90" s="2" t="n">
        <v>1</v>
      </c>
      <c r="G90" s="2" t="s">
        <v>1141</v>
      </c>
    </row>
    <row r="91" customFormat="false" ht="15" hidden="false" customHeight="false" outlineLevel="0" collapsed="false">
      <c r="A91" s="2" t="s">
        <v>1142</v>
      </c>
      <c r="B91" s="2" t="s">
        <v>894</v>
      </c>
      <c r="C91" s="2" t="s">
        <v>1085</v>
      </c>
      <c r="D91" s="2" t="s">
        <v>983</v>
      </c>
      <c r="E91" s="2" t="s">
        <v>262</v>
      </c>
      <c r="F91" s="2" t="n">
        <v>1</v>
      </c>
      <c r="G91" s="2" t="s">
        <v>1086</v>
      </c>
    </row>
    <row r="92" customFormat="false" ht="15" hidden="false" customHeight="false" outlineLevel="0" collapsed="false">
      <c r="A92" s="2" t="s">
        <v>1143</v>
      </c>
      <c r="B92" s="2" t="s">
        <v>894</v>
      </c>
      <c r="C92" s="2" t="s">
        <v>1085</v>
      </c>
      <c r="D92" s="2" t="s">
        <v>986</v>
      </c>
      <c r="E92" s="2" t="s">
        <v>304</v>
      </c>
      <c r="F92" s="2" t="n">
        <v>1</v>
      </c>
      <c r="G92" s="2" t="s">
        <v>1088</v>
      </c>
    </row>
    <row r="93" customFormat="false" ht="15" hidden="false" customHeight="false" outlineLevel="0" collapsed="false">
      <c r="A93" s="2" t="s">
        <v>1144</v>
      </c>
      <c r="B93" s="2" t="s">
        <v>894</v>
      </c>
      <c r="C93" s="2" t="s">
        <v>1085</v>
      </c>
      <c r="D93" s="2" t="s">
        <v>989</v>
      </c>
      <c r="E93" s="2" t="s">
        <v>304</v>
      </c>
      <c r="F93" s="2" t="n">
        <v>1</v>
      </c>
      <c r="G93" s="2" t="s">
        <v>1090</v>
      </c>
    </row>
    <row r="94" customFormat="false" ht="15" hidden="false" customHeight="false" outlineLevel="0" collapsed="false">
      <c r="A94" s="2" t="s">
        <v>1145</v>
      </c>
      <c r="B94" s="2" t="s">
        <v>894</v>
      </c>
      <c r="C94" s="2" t="s">
        <v>1085</v>
      </c>
      <c r="D94" s="2" t="s">
        <v>992</v>
      </c>
      <c r="E94" s="2" t="s">
        <v>477</v>
      </c>
      <c r="F94" s="2" t="n">
        <v>1</v>
      </c>
      <c r="G94" s="2" t="s">
        <v>1092</v>
      </c>
    </row>
    <row r="95" customFormat="false" ht="15" hidden="false" customHeight="false" outlineLevel="0" collapsed="false">
      <c r="A95" s="2" t="s">
        <v>1146</v>
      </c>
      <c r="B95" s="2" t="s">
        <v>894</v>
      </c>
      <c r="C95" s="2" t="s">
        <v>1085</v>
      </c>
      <c r="D95" s="2" t="s">
        <v>992</v>
      </c>
      <c r="E95" s="2" t="s">
        <v>484</v>
      </c>
      <c r="F95" s="2" t="n">
        <v>1</v>
      </c>
      <c r="G95" s="2" t="s">
        <v>1092</v>
      </c>
    </row>
    <row r="96" customFormat="false" ht="15" hidden="false" customHeight="false" outlineLevel="0" collapsed="false">
      <c r="A96" s="2" t="s">
        <v>1147</v>
      </c>
      <c r="B96" s="2" t="s">
        <v>894</v>
      </c>
      <c r="C96" s="2" t="s">
        <v>1085</v>
      </c>
      <c r="D96" s="2" t="s">
        <v>992</v>
      </c>
      <c r="E96" s="2" t="s">
        <v>466</v>
      </c>
      <c r="F96" s="2" t="n">
        <v>1</v>
      </c>
      <c r="G96" s="2" t="s">
        <v>1092</v>
      </c>
    </row>
    <row r="97" customFormat="false" ht="15" hidden="false" customHeight="false" outlineLevel="0" collapsed="false">
      <c r="A97" s="2" t="s">
        <v>1148</v>
      </c>
      <c r="B97" s="2" t="s">
        <v>894</v>
      </c>
      <c r="C97" s="2" t="s">
        <v>982</v>
      </c>
      <c r="D97" s="2" t="s">
        <v>986</v>
      </c>
      <c r="E97" s="2" t="s">
        <v>323</v>
      </c>
      <c r="F97" s="2" t="n">
        <v>1</v>
      </c>
      <c r="G97" s="2" t="s">
        <v>987</v>
      </c>
    </row>
    <row r="98" customFormat="false" ht="15" hidden="false" customHeight="false" outlineLevel="0" collapsed="false">
      <c r="A98" s="2" t="s">
        <v>1149</v>
      </c>
      <c r="B98" s="2" t="s">
        <v>894</v>
      </c>
      <c r="C98" s="2" t="s">
        <v>982</v>
      </c>
      <c r="D98" s="2" t="s">
        <v>992</v>
      </c>
      <c r="E98" s="2" t="s">
        <v>477</v>
      </c>
      <c r="F98" s="2" t="n">
        <v>1</v>
      </c>
      <c r="G98" s="2" t="s">
        <v>993</v>
      </c>
    </row>
    <row r="99" customFormat="false" ht="15" hidden="false" customHeight="false" outlineLevel="0" collapsed="false">
      <c r="A99" s="2" t="s">
        <v>1150</v>
      </c>
      <c r="B99" s="2" t="s">
        <v>894</v>
      </c>
      <c r="C99" s="2" t="s">
        <v>982</v>
      </c>
      <c r="D99" s="2" t="s">
        <v>992</v>
      </c>
      <c r="E99" s="2" t="s">
        <v>472</v>
      </c>
      <c r="F99" s="2" t="n">
        <v>1</v>
      </c>
      <c r="G99" s="2" t="s">
        <v>993</v>
      </c>
    </row>
    <row r="100" customFormat="false" ht="15" hidden="false" customHeight="false" outlineLevel="0" collapsed="false">
      <c r="A100" s="2" t="s">
        <v>1151</v>
      </c>
      <c r="B100" s="2" t="s">
        <v>894</v>
      </c>
      <c r="C100" s="2" t="s">
        <v>982</v>
      </c>
      <c r="D100" s="2" t="s">
        <v>992</v>
      </c>
      <c r="E100" s="2" t="s">
        <v>459</v>
      </c>
      <c r="F100" s="2" t="n">
        <v>1</v>
      </c>
      <c r="G100" s="2" t="s">
        <v>993</v>
      </c>
    </row>
    <row r="101" customFormat="false" ht="15" hidden="false" customHeight="false" outlineLevel="0" collapsed="false">
      <c r="A101" s="2" t="s">
        <v>1152</v>
      </c>
      <c r="B101" s="2" t="s">
        <v>894</v>
      </c>
      <c r="C101" s="2" t="s">
        <v>996</v>
      </c>
      <c r="D101" s="2" t="s">
        <v>983</v>
      </c>
      <c r="E101" s="2" t="s">
        <v>233</v>
      </c>
      <c r="F101" s="2" t="n">
        <v>1</v>
      </c>
      <c r="G101" s="2" t="s">
        <v>997</v>
      </c>
    </row>
    <row r="102" customFormat="false" ht="15" hidden="false" customHeight="false" outlineLevel="0" collapsed="false">
      <c r="A102" s="2" t="s">
        <v>1153</v>
      </c>
      <c r="B102" s="2" t="s">
        <v>894</v>
      </c>
      <c r="C102" s="2" t="s">
        <v>996</v>
      </c>
      <c r="D102" s="2" t="s">
        <v>986</v>
      </c>
      <c r="E102" s="2" t="s">
        <v>304</v>
      </c>
      <c r="F102" s="2" t="n">
        <v>1</v>
      </c>
      <c r="G102" s="2" t="s">
        <v>999</v>
      </c>
    </row>
    <row r="103" customFormat="false" ht="15" hidden="false" customHeight="false" outlineLevel="0" collapsed="false">
      <c r="A103" s="2" t="s">
        <v>1154</v>
      </c>
      <c r="B103" s="2" t="s">
        <v>894</v>
      </c>
      <c r="C103" s="2" t="s">
        <v>996</v>
      </c>
      <c r="D103" s="2" t="s">
        <v>989</v>
      </c>
      <c r="E103" s="2" t="s">
        <v>436</v>
      </c>
      <c r="F103" s="2" t="n">
        <v>1</v>
      </c>
      <c r="G103" s="2" t="s">
        <v>1001</v>
      </c>
    </row>
    <row r="104" customFormat="false" ht="15" hidden="false" customHeight="false" outlineLevel="0" collapsed="false">
      <c r="A104" s="2" t="s">
        <v>1155</v>
      </c>
      <c r="B104" s="2" t="s">
        <v>894</v>
      </c>
      <c r="C104" s="2" t="s">
        <v>996</v>
      </c>
      <c r="D104" s="2" t="s">
        <v>992</v>
      </c>
      <c r="E104" s="2" t="s">
        <v>496</v>
      </c>
      <c r="F104" s="2" t="n">
        <v>1</v>
      </c>
      <c r="G104" s="2" t="s">
        <v>1156</v>
      </c>
    </row>
    <row r="105" customFormat="false" ht="15" hidden="false" customHeight="false" outlineLevel="0" collapsed="false">
      <c r="A105" s="2" t="s">
        <v>1157</v>
      </c>
      <c r="B105" s="2" t="s">
        <v>894</v>
      </c>
      <c r="C105" s="2" t="s">
        <v>1010</v>
      </c>
      <c r="D105" s="2" t="s">
        <v>983</v>
      </c>
      <c r="E105" s="2" t="s">
        <v>233</v>
      </c>
      <c r="F105" s="2" t="n">
        <v>1</v>
      </c>
      <c r="G105" s="2" t="s">
        <v>1011</v>
      </c>
    </row>
    <row r="106" customFormat="false" ht="15" hidden="false" customHeight="false" outlineLevel="0" collapsed="false">
      <c r="A106" s="2" t="s">
        <v>1158</v>
      </c>
      <c r="B106" s="2" t="s">
        <v>894</v>
      </c>
      <c r="C106" s="2" t="s">
        <v>1010</v>
      </c>
      <c r="D106" s="2" t="s">
        <v>986</v>
      </c>
      <c r="E106" s="2" t="s">
        <v>374</v>
      </c>
      <c r="F106" s="2" t="n">
        <v>1</v>
      </c>
      <c r="G106" s="2" t="s">
        <v>1013</v>
      </c>
    </row>
    <row r="107" customFormat="false" ht="15" hidden="false" customHeight="false" outlineLevel="0" collapsed="false">
      <c r="A107" s="2" t="s">
        <v>1159</v>
      </c>
      <c r="B107" s="2" t="s">
        <v>894</v>
      </c>
      <c r="C107" s="2" t="s">
        <v>1010</v>
      </c>
      <c r="D107" s="2" t="s">
        <v>989</v>
      </c>
      <c r="E107" s="2" t="s">
        <v>386</v>
      </c>
      <c r="F107" s="2" t="n">
        <v>1</v>
      </c>
      <c r="G107" s="2" t="s">
        <v>1015</v>
      </c>
    </row>
    <row r="108" customFormat="false" ht="15" hidden="false" customHeight="false" outlineLevel="0" collapsed="false">
      <c r="A108" s="2" t="s">
        <v>1160</v>
      </c>
      <c r="B108" s="2" t="s">
        <v>894</v>
      </c>
      <c r="C108" s="2" t="s">
        <v>1010</v>
      </c>
      <c r="D108" s="2" t="s">
        <v>992</v>
      </c>
      <c r="E108" s="2" t="s">
        <v>459</v>
      </c>
      <c r="F108" s="2" t="n">
        <v>1</v>
      </c>
      <c r="G108" s="2" t="s">
        <v>1017</v>
      </c>
    </row>
    <row r="109" customFormat="false" ht="15" hidden="false" customHeight="false" outlineLevel="0" collapsed="false">
      <c r="A109" s="2" t="s">
        <v>1161</v>
      </c>
      <c r="B109" s="2" t="s">
        <v>894</v>
      </c>
      <c r="C109" s="2" t="s">
        <v>1019</v>
      </c>
      <c r="D109" s="2" t="s">
        <v>983</v>
      </c>
      <c r="E109" s="2" t="s">
        <v>335</v>
      </c>
      <c r="F109" s="2" t="n">
        <v>1</v>
      </c>
      <c r="G109" s="2" t="s">
        <v>1107</v>
      </c>
    </row>
    <row r="110" customFormat="false" ht="15" hidden="false" customHeight="false" outlineLevel="0" collapsed="false">
      <c r="A110" s="2" t="s">
        <v>1162</v>
      </c>
      <c r="B110" s="2" t="s">
        <v>894</v>
      </c>
      <c r="C110" s="2" t="s">
        <v>1019</v>
      </c>
      <c r="D110" s="2" t="s">
        <v>986</v>
      </c>
      <c r="E110" s="2" t="s">
        <v>256</v>
      </c>
      <c r="F110" s="2" t="n">
        <v>1</v>
      </c>
      <c r="G110" s="2" t="s">
        <v>1020</v>
      </c>
    </row>
    <row r="111" customFormat="false" ht="15" hidden="false" customHeight="false" outlineLevel="0" collapsed="false">
      <c r="A111" s="2" t="s">
        <v>1163</v>
      </c>
      <c r="B111" s="2" t="s">
        <v>894</v>
      </c>
      <c r="C111" s="2" t="s">
        <v>1019</v>
      </c>
      <c r="D111" s="2" t="s">
        <v>989</v>
      </c>
      <c r="E111" s="2" t="s">
        <v>304</v>
      </c>
      <c r="F111" s="2" t="n">
        <v>1</v>
      </c>
      <c r="G111" s="2" t="s">
        <v>1022</v>
      </c>
    </row>
    <row r="112" customFormat="false" ht="15" hidden="false" customHeight="false" outlineLevel="0" collapsed="false">
      <c r="A112" s="2" t="s">
        <v>1164</v>
      </c>
      <c r="B112" s="2" t="s">
        <v>894</v>
      </c>
      <c r="C112" s="2" t="s">
        <v>1019</v>
      </c>
      <c r="D112" s="2" t="s">
        <v>992</v>
      </c>
      <c r="E112" s="2" t="s">
        <v>466</v>
      </c>
      <c r="F112" s="2" t="n">
        <v>1</v>
      </c>
      <c r="G112" s="2" t="s">
        <v>1024</v>
      </c>
    </row>
    <row r="113" customFormat="false" ht="15" hidden="false" customHeight="false" outlineLevel="0" collapsed="false">
      <c r="A113" s="2" t="s">
        <v>1165</v>
      </c>
      <c r="B113" s="2" t="s">
        <v>894</v>
      </c>
      <c r="C113" s="2" t="s">
        <v>1026</v>
      </c>
      <c r="D113" s="2" t="s">
        <v>983</v>
      </c>
      <c r="E113" s="2" t="s">
        <v>304</v>
      </c>
      <c r="F113" s="2" t="n">
        <v>1</v>
      </c>
      <c r="G113" s="2" t="s">
        <v>1027</v>
      </c>
    </row>
    <row r="114" customFormat="false" ht="15" hidden="false" customHeight="false" outlineLevel="0" collapsed="false">
      <c r="A114" s="2" t="s">
        <v>1166</v>
      </c>
      <c r="B114" s="2" t="s">
        <v>894</v>
      </c>
      <c r="C114" s="2" t="s">
        <v>1026</v>
      </c>
      <c r="D114" s="2" t="s">
        <v>986</v>
      </c>
      <c r="E114" s="2" t="s">
        <v>280</v>
      </c>
      <c r="F114" s="2" t="n">
        <v>1</v>
      </c>
      <c r="G114" s="2" t="s">
        <v>1029</v>
      </c>
    </row>
    <row r="115" customFormat="false" ht="15" hidden="false" customHeight="false" outlineLevel="0" collapsed="false">
      <c r="A115" s="2" t="s">
        <v>1167</v>
      </c>
      <c r="B115" s="2" t="s">
        <v>894</v>
      </c>
      <c r="C115" s="2" t="s">
        <v>1026</v>
      </c>
      <c r="D115" s="2" t="s">
        <v>989</v>
      </c>
      <c r="E115" s="2" t="s">
        <v>256</v>
      </c>
      <c r="F115" s="2" t="n">
        <v>1</v>
      </c>
      <c r="G115" s="2" t="s">
        <v>1031</v>
      </c>
    </row>
    <row r="116" customFormat="false" ht="15" hidden="false" customHeight="false" outlineLevel="0" collapsed="false">
      <c r="A116" s="2" t="s">
        <v>1168</v>
      </c>
      <c r="B116" s="2" t="s">
        <v>894</v>
      </c>
      <c r="C116" s="2" t="s">
        <v>1026</v>
      </c>
      <c r="D116" s="2" t="s">
        <v>992</v>
      </c>
      <c r="E116" s="2" t="s">
        <v>335</v>
      </c>
      <c r="F116" s="2" t="n">
        <v>1</v>
      </c>
      <c r="G116" s="2" t="s">
        <v>1114</v>
      </c>
    </row>
    <row r="117" customFormat="false" ht="15" hidden="false" customHeight="false" outlineLevel="0" collapsed="false">
      <c r="A117" s="2" t="s">
        <v>1169</v>
      </c>
      <c r="B117" s="2" t="s">
        <v>894</v>
      </c>
      <c r="C117" s="2" t="s">
        <v>1033</v>
      </c>
      <c r="D117" s="2" t="s">
        <v>986</v>
      </c>
      <c r="E117" s="2" t="s">
        <v>311</v>
      </c>
      <c r="F117" s="2" t="n">
        <v>1</v>
      </c>
      <c r="G117" s="2" t="s">
        <v>1036</v>
      </c>
    </row>
    <row r="118" customFormat="false" ht="15" hidden="false" customHeight="false" outlineLevel="0" collapsed="false">
      <c r="A118" s="2" t="s">
        <v>1170</v>
      </c>
      <c r="B118" s="2" t="s">
        <v>894</v>
      </c>
      <c r="C118" s="2" t="s">
        <v>1033</v>
      </c>
      <c r="D118" s="2" t="s">
        <v>989</v>
      </c>
      <c r="E118" s="2" t="s">
        <v>335</v>
      </c>
      <c r="F118" s="2" t="n">
        <v>1</v>
      </c>
      <c r="G118" s="2" t="s">
        <v>1038</v>
      </c>
    </row>
    <row r="119" customFormat="false" ht="15" hidden="false" customHeight="false" outlineLevel="0" collapsed="false">
      <c r="A119" s="2" t="s">
        <v>1171</v>
      </c>
      <c r="B119" s="2" t="s">
        <v>894</v>
      </c>
      <c r="C119" s="2" t="s">
        <v>1033</v>
      </c>
      <c r="D119" s="2" t="s">
        <v>992</v>
      </c>
      <c r="E119" s="2" t="s">
        <v>484</v>
      </c>
      <c r="F119" s="2" t="n">
        <v>1</v>
      </c>
      <c r="G119" s="2" t="s">
        <v>1040</v>
      </c>
    </row>
    <row r="120" customFormat="false" ht="15" hidden="false" customHeight="false" outlineLevel="0" collapsed="false">
      <c r="A120" s="2" t="s">
        <v>1172</v>
      </c>
      <c r="B120" s="2" t="s">
        <v>894</v>
      </c>
      <c r="C120" s="2" t="s">
        <v>1043</v>
      </c>
      <c r="D120" s="2" t="s">
        <v>986</v>
      </c>
      <c r="E120" s="2" t="s">
        <v>262</v>
      </c>
      <c r="F120" s="2" t="n">
        <v>1</v>
      </c>
      <c r="G120" s="2" t="s">
        <v>1046</v>
      </c>
    </row>
    <row r="121" customFormat="false" ht="15" hidden="false" customHeight="false" outlineLevel="0" collapsed="false">
      <c r="A121" s="2" t="s">
        <v>1173</v>
      </c>
      <c r="B121" s="2" t="s">
        <v>894</v>
      </c>
      <c r="C121" s="2" t="s">
        <v>1043</v>
      </c>
      <c r="D121" s="2" t="s">
        <v>989</v>
      </c>
      <c r="E121" s="2" t="s">
        <v>369</v>
      </c>
      <c r="F121" s="2" t="n">
        <v>1</v>
      </c>
      <c r="G121" s="2" t="s">
        <v>1048</v>
      </c>
    </row>
    <row r="122" customFormat="false" ht="15" hidden="false" customHeight="false" outlineLevel="0" collapsed="false">
      <c r="A122" s="2" t="s">
        <v>1174</v>
      </c>
      <c r="B122" s="2" t="s">
        <v>894</v>
      </c>
      <c r="C122" s="2" t="s">
        <v>1043</v>
      </c>
      <c r="D122" s="2" t="s">
        <v>992</v>
      </c>
      <c r="E122" s="2" t="s">
        <v>490</v>
      </c>
      <c r="F122" s="2" t="n">
        <v>1</v>
      </c>
      <c r="G122" s="2" t="s">
        <v>1050</v>
      </c>
    </row>
    <row r="123" customFormat="false" ht="15" hidden="false" customHeight="false" outlineLevel="0" collapsed="false">
      <c r="A123" s="2" t="s">
        <v>1175</v>
      </c>
      <c r="B123" s="2" t="s">
        <v>894</v>
      </c>
      <c r="C123" s="2" t="s">
        <v>1128</v>
      </c>
      <c r="D123" s="2" t="s">
        <v>983</v>
      </c>
      <c r="E123" s="2" t="s">
        <v>363</v>
      </c>
      <c r="F123" s="2" t="n">
        <v>1</v>
      </c>
      <c r="G123" s="2" t="s">
        <v>1129</v>
      </c>
    </row>
    <row r="124" customFormat="false" ht="15" hidden="false" customHeight="false" outlineLevel="0" collapsed="false">
      <c r="A124" s="2" t="s">
        <v>1176</v>
      </c>
      <c r="B124" s="2" t="s">
        <v>894</v>
      </c>
      <c r="C124" s="2" t="s">
        <v>1128</v>
      </c>
      <c r="D124" s="2" t="s">
        <v>986</v>
      </c>
      <c r="E124" s="2" t="s">
        <v>250</v>
      </c>
      <c r="F124" s="2" t="n">
        <v>1</v>
      </c>
      <c r="G124" s="2" t="s">
        <v>1131</v>
      </c>
    </row>
    <row r="125" customFormat="false" ht="15" hidden="false" customHeight="false" outlineLevel="0" collapsed="false">
      <c r="A125" s="2" t="s">
        <v>1177</v>
      </c>
      <c r="B125" s="2" t="s">
        <v>894</v>
      </c>
      <c r="C125" s="2" t="s">
        <v>1128</v>
      </c>
      <c r="D125" s="2" t="s">
        <v>989</v>
      </c>
      <c r="E125" s="2" t="s">
        <v>311</v>
      </c>
      <c r="F125" s="2" t="n">
        <v>1</v>
      </c>
      <c r="G125" s="2" t="s">
        <v>1133</v>
      </c>
    </row>
    <row r="126" customFormat="false" ht="15" hidden="false" customHeight="false" outlineLevel="0" collapsed="false">
      <c r="A126" s="2" t="s">
        <v>1178</v>
      </c>
      <c r="B126" s="2" t="s">
        <v>894</v>
      </c>
      <c r="C126" s="2" t="s">
        <v>1128</v>
      </c>
      <c r="D126" s="2" t="s">
        <v>992</v>
      </c>
      <c r="E126" s="2" t="s">
        <v>472</v>
      </c>
      <c r="F126" s="2" t="n">
        <v>1</v>
      </c>
      <c r="G126" s="2" t="s">
        <v>1135</v>
      </c>
    </row>
    <row r="127" customFormat="false" ht="15" hidden="false" customHeight="false" outlineLevel="0" collapsed="false">
      <c r="A127" s="2" t="s">
        <v>1179</v>
      </c>
      <c r="B127" s="2" t="s">
        <v>894</v>
      </c>
      <c r="C127" s="2" t="s">
        <v>1061</v>
      </c>
      <c r="D127" s="2" t="s">
        <v>983</v>
      </c>
      <c r="E127" s="2" t="s">
        <v>221</v>
      </c>
      <c r="F127" s="2" t="n">
        <v>1</v>
      </c>
      <c r="G127" s="2" t="s">
        <v>1062</v>
      </c>
    </row>
    <row r="128" customFormat="false" ht="15" hidden="false" customHeight="false" outlineLevel="0" collapsed="false">
      <c r="A128" s="2" t="s">
        <v>1180</v>
      </c>
      <c r="B128" s="2" t="s">
        <v>894</v>
      </c>
      <c r="C128" s="2" t="s">
        <v>1061</v>
      </c>
      <c r="D128" s="2" t="s">
        <v>986</v>
      </c>
      <c r="E128" s="2" t="s">
        <v>347</v>
      </c>
      <c r="F128" s="2" t="n">
        <v>1</v>
      </c>
      <c r="G128" s="2" t="s">
        <v>1064</v>
      </c>
    </row>
    <row r="129" customFormat="false" ht="15" hidden="false" customHeight="false" outlineLevel="0" collapsed="false">
      <c r="A129" s="2" t="s">
        <v>1181</v>
      </c>
      <c r="B129" s="2" t="s">
        <v>894</v>
      </c>
      <c r="C129" s="2" t="s">
        <v>1061</v>
      </c>
      <c r="D129" s="2" t="s">
        <v>989</v>
      </c>
      <c r="E129" s="2" t="s">
        <v>262</v>
      </c>
      <c r="F129" s="2" t="n">
        <v>1</v>
      </c>
      <c r="G129" s="2" t="s">
        <v>1066</v>
      </c>
    </row>
    <row r="130" customFormat="false" ht="15" hidden="false" customHeight="false" outlineLevel="0" collapsed="false">
      <c r="A130" s="2" t="s">
        <v>1182</v>
      </c>
      <c r="B130" s="2" t="s">
        <v>894</v>
      </c>
      <c r="C130" s="2" t="s">
        <v>1071</v>
      </c>
      <c r="D130" s="2" t="s">
        <v>983</v>
      </c>
      <c r="E130" s="2" t="s">
        <v>484</v>
      </c>
      <c r="F130" s="2" t="n">
        <v>1</v>
      </c>
      <c r="G130" s="2" t="s">
        <v>1138</v>
      </c>
    </row>
    <row r="131" customFormat="false" ht="15" hidden="false" customHeight="false" outlineLevel="0" collapsed="false">
      <c r="A131" s="2" t="s">
        <v>1183</v>
      </c>
      <c r="B131" s="2" t="s">
        <v>894</v>
      </c>
      <c r="C131" s="2" t="s">
        <v>1071</v>
      </c>
      <c r="D131" s="2" t="s">
        <v>986</v>
      </c>
      <c r="E131" s="2" t="s">
        <v>369</v>
      </c>
      <c r="F131" s="2" t="n">
        <v>1</v>
      </c>
      <c r="G131" s="2" t="s">
        <v>1072</v>
      </c>
    </row>
    <row r="132" customFormat="false" ht="15" hidden="false" customHeight="false" outlineLevel="0" collapsed="false">
      <c r="A132" s="2" t="s">
        <v>1184</v>
      </c>
      <c r="B132" s="2" t="s">
        <v>894</v>
      </c>
      <c r="C132" s="2" t="s">
        <v>1071</v>
      </c>
      <c r="D132" s="2" t="s">
        <v>989</v>
      </c>
      <c r="E132" s="2" t="s">
        <v>424</v>
      </c>
      <c r="F132" s="2" t="n">
        <v>1</v>
      </c>
      <c r="G132" s="2" t="s">
        <v>1074</v>
      </c>
    </row>
    <row r="133" customFormat="false" ht="15" hidden="false" customHeight="false" outlineLevel="0" collapsed="false">
      <c r="A133" s="2" t="s">
        <v>1185</v>
      </c>
      <c r="B133" s="2" t="s">
        <v>894</v>
      </c>
      <c r="C133" s="2" t="s">
        <v>1071</v>
      </c>
      <c r="D133" s="2" t="s">
        <v>992</v>
      </c>
      <c r="E133" s="2" t="s">
        <v>477</v>
      </c>
      <c r="F133" s="2" t="n">
        <v>1</v>
      </c>
      <c r="G133" s="2" t="s">
        <v>1141</v>
      </c>
    </row>
    <row r="134" customFormat="false" ht="15" hidden="false" customHeight="false" outlineLevel="0" collapsed="false">
      <c r="A134" s="2" t="s">
        <v>1186</v>
      </c>
      <c r="B134" s="2" t="s">
        <v>894</v>
      </c>
      <c r="C134" s="2" t="s">
        <v>220</v>
      </c>
      <c r="D134" s="2" t="s">
        <v>983</v>
      </c>
      <c r="E134" s="2" t="s">
        <v>484</v>
      </c>
      <c r="F134" s="2" t="n">
        <v>1</v>
      </c>
      <c r="G134" s="2" t="s">
        <v>1076</v>
      </c>
    </row>
    <row r="135" customFormat="false" ht="15" hidden="false" customHeight="false" outlineLevel="0" collapsed="false">
      <c r="A135" s="2" t="s">
        <v>1187</v>
      </c>
      <c r="B135" s="2" t="s">
        <v>894</v>
      </c>
      <c r="C135" s="2" t="s">
        <v>220</v>
      </c>
      <c r="D135" s="2" t="s">
        <v>986</v>
      </c>
      <c r="E135" s="2" t="s">
        <v>317</v>
      </c>
      <c r="F135" s="2" t="n">
        <v>1</v>
      </c>
      <c r="G135" s="2" t="s">
        <v>1078</v>
      </c>
    </row>
    <row r="136" customFormat="false" ht="15" hidden="false" customHeight="false" outlineLevel="0" collapsed="false">
      <c r="A136" s="2" t="s">
        <v>1188</v>
      </c>
      <c r="B136" s="2" t="s">
        <v>894</v>
      </c>
      <c r="C136" s="2" t="s">
        <v>220</v>
      </c>
      <c r="D136" s="2" t="s">
        <v>989</v>
      </c>
      <c r="E136" s="2" t="s">
        <v>430</v>
      </c>
      <c r="F136" s="2" t="n">
        <v>1</v>
      </c>
      <c r="G136" s="2" t="s">
        <v>1080</v>
      </c>
    </row>
    <row r="137" customFormat="false" ht="15" hidden="false" customHeight="false" outlineLevel="0" collapsed="false">
      <c r="A137" s="2" t="s">
        <v>1189</v>
      </c>
      <c r="B137" s="2" t="s">
        <v>897</v>
      </c>
      <c r="C137" s="2" t="s">
        <v>1085</v>
      </c>
      <c r="D137" s="2" t="s">
        <v>983</v>
      </c>
      <c r="E137" s="2" t="s">
        <v>329</v>
      </c>
      <c r="F137" s="2" t="n">
        <v>1</v>
      </c>
      <c r="G137" s="2" t="s">
        <v>1086</v>
      </c>
    </row>
    <row r="138" customFormat="false" ht="15" hidden="false" customHeight="false" outlineLevel="0" collapsed="false">
      <c r="A138" s="2" t="s">
        <v>1190</v>
      </c>
      <c r="B138" s="2" t="s">
        <v>897</v>
      </c>
      <c r="C138" s="2" t="s">
        <v>1085</v>
      </c>
      <c r="D138" s="2" t="s">
        <v>986</v>
      </c>
      <c r="E138" s="2" t="s">
        <v>227</v>
      </c>
      <c r="F138" s="2" t="n">
        <v>1</v>
      </c>
      <c r="G138" s="2" t="s">
        <v>1088</v>
      </c>
    </row>
    <row r="139" customFormat="false" ht="15" hidden="false" customHeight="false" outlineLevel="0" collapsed="false">
      <c r="A139" s="2" t="s">
        <v>1191</v>
      </c>
      <c r="B139" s="2" t="s">
        <v>897</v>
      </c>
      <c r="C139" s="2" t="s">
        <v>1085</v>
      </c>
      <c r="D139" s="2" t="s">
        <v>989</v>
      </c>
      <c r="E139" s="2" t="s">
        <v>352</v>
      </c>
      <c r="F139" s="2" t="n">
        <v>1</v>
      </c>
      <c r="G139" s="2" t="s">
        <v>1090</v>
      </c>
    </row>
    <row r="140" customFormat="false" ht="15" hidden="false" customHeight="false" outlineLevel="0" collapsed="false">
      <c r="A140" s="2" t="s">
        <v>1192</v>
      </c>
      <c r="B140" s="2" t="s">
        <v>897</v>
      </c>
      <c r="C140" s="2" t="s">
        <v>1085</v>
      </c>
      <c r="D140" s="2" t="s">
        <v>992</v>
      </c>
      <c r="E140" s="2" t="s">
        <v>459</v>
      </c>
      <c r="F140" s="2" t="n">
        <v>1</v>
      </c>
      <c r="G140" s="2" t="s">
        <v>1092</v>
      </c>
    </row>
    <row r="141" customFormat="false" ht="15" hidden="false" customHeight="false" outlineLevel="0" collapsed="false">
      <c r="A141" s="2" t="s">
        <v>1193</v>
      </c>
      <c r="B141" s="2" t="s">
        <v>897</v>
      </c>
      <c r="C141" s="2" t="s">
        <v>982</v>
      </c>
      <c r="D141" s="2" t="s">
        <v>983</v>
      </c>
      <c r="E141" s="2" t="s">
        <v>329</v>
      </c>
      <c r="F141" s="2" t="n">
        <v>1</v>
      </c>
      <c r="G141" s="2" t="s">
        <v>984</v>
      </c>
    </row>
    <row r="142" customFormat="false" ht="15" hidden="false" customHeight="false" outlineLevel="0" collapsed="false">
      <c r="A142" s="2" t="s">
        <v>1194</v>
      </c>
      <c r="B142" s="2" t="s">
        <v>897</v>
      </c>
      <c r="C142" s="2" t="s">
        <v>982</v>
      </c>
      <c r="D142" s="2" t="s">
        <v>986</v>
      </c>
      <c r="E142" s="2" t="s">
        <v>311</v>
      </c>
      <c r="F142" s="2" t="n">
        <v>1</v>
      </c>
      <c r="G142" s="2" t="s">
        <v>987</v>
      </c>
    </row>
    <row r="143" customFormat="false" ht="15" hidden="false" customHeight="false" outlineLevel="0" collapsed="false">
      <c r="A143" s="2" t="s">
        <v>1195</v>
      </c>
      <c r="B143" s="2" t="s">
        <v>897</v>
      </c>
      <c r="C143" s="2" t="s">
        <v>982</v>
      </c>
      <c r="D143" s="2" t="s">
        <v>989</v>
      </c>
      <c r="E143" s="2" t="s">
        <v>392</v>
      </c>
      <c r="F143" s="2" t="n">
        <v>1</v>
      </c>
      <c r="G143" s="2" t="s">
        <v>990</v>
      </c>
    </row>
    <row r="144" customFormat="false" ht="15" hidden="false" customHeight="false" outlineLevel="0" collapsed="false">
      <c r="A144" s="2" t="s">
        <v>1196</v>
      </c>
      <c r="B144" s="2" t="s">
        <v>897</v>
      </c>
      <c r="C144" s="2" t="s">
        <v>982</v>
      </c>
      <c r="D144" s="2" t="s">
        <v>992</v>
      </c>
      <c r="E144" s="2" t="s">
        <v>335</v>
      </c>
      <c r="F144" s="2" t="n">
        <v>1</v>
      </c>
      <c r="G144" s="2" t="s">
        <v>993</v>
      </c>
    </row>
    <row r="145" customFormat="false" ht="15" hidden="false" customHeight="false" outlineLevel="0" collapsed="false">
      <c r="A145" s="2" t="s">
        <v>1197</v>
      </c>
      <c r="B145" s="2" t="s">
        <v>897</v>
      </c>
      <c r="C145" s="2" t="s">
        <v>996</v>
      </c>
      <c r="D145" s="2" t="s">
        <v>983</v>
      </c>
      <c r="E145" s="2" t="s">
        <v>245</v>
      </c>
      <c r="F145" s="2" t="n">
        <v>1</v>
      </c>
      <c r="G145" s="2" t="s">
        <v>997</v>
      </c>
    </row>
    <row r="146" customFormat="false" ht="15" hidden="false" customHeight="false" outlineLevel="0" collapsed="false">
      <c r="A146" s="2" t="s">
        <v>1198</v>
      </c>
      <c r="B146" s="2" t="s">
        <v>897</v>
      </c>
      <c r="C146" s="2" t="s">
        <v>996</v>
      </c>
      <c r="D146" s="2" t="s">
        <v>986</v>
      </c>
      <c r="E146" s="2" t="s">
        <v>250</v>
      </c>
      <c r="F146" s="2" t="n">
        <v>1</v>
      </c>
      <c r="G146" s="2" t="s">
        <v>999</v>
      </c>
    </row>
    <row r="147" customFormat="false" ht="15" hidden="false" customHeight="false" outlineLevel="0" collapsed="false">
      <c r="A147" s="2" t="s">
        <v>1199</v>
      </c>
      <c r="B147" s="2" t="s">
        <v>897</v>
      </c>
      <c r="C147" s="2" t="s">
        <v>996</v>
      </c>
      <c r="D147" s="2" t="s">
        <v>989</v>
      </c>
      <c r="E147" s="2" t="s">
        <v>399</v>
      </c>
      <c r="F147" s="2" t="n">
        <v>1</v>
      </c>
      <c r="G147" s="2" t="s">
        <v>1001</v>
      </c>
    </row>
    <row r="148" customFormat="false" ht="15" hidden="false" customHeight="false" outlineLevel="0" collapsed="false">
      <c r="A148" s="2" t="s">
        <v>1200</v>
      </c>
      <c r="B148" s="2" t="s">
        <v>897</v>
      </c>
      <c r="C148" s="2" t="s">
        <v>996</v>
      </c>
      <c r="D148" s="2" t="s">
        <v>992</v>
      </c>
      <c r="E148" s="2" t="s">
        <v>459</v>
      </c>
      <c r="F148" s="2" t="n">
        <v>1</v>
      </c>
      <c r="G148" s="2" t="s">
        <v>1156</v>
      </c>
    </row>
    <row r="149" customFormat="false" ht="15" hidden="false" customHeight="false" outlineLevel="0" collapsed="false">
      <c r="A149" s="2" t="s">
        <v>1201</v>
      </c>
      <c r="B149" s="2" t="s">
        <v>897</v>
      </c>
      <c r="C149" s="2" t="s">
        <v>996</v>
      </c>
      <c r="D149" s="2" t="s">
        <v>992</v>
      </c>
      <c r="E149" s="2" t="s">
        <v>484</v>
      </c>
      <c r="F149" s="2" t="n">
        <v>1</v>
      </c>
      <c r="G149" s="2" t="s">
        <v>1156</v>
      </c>
    </row>
    <row r="150" customFormat="false" ht="15" hidden="false" customHeight="false" outlineLevel="0" collapsed="false">
      <c r="A150" s="2" t="s">
        <v>1202</v>
      </c>
      <c r="B150" s="2" t="s">
        <v>897</v>
      </c>
      <c r="C150" s="2" t="s">
        <v>996</v>
      </c>
      <c r="D150" s="2" t="s">
        <v>992</v>
      </c>
      <c r="E150" s="2" t="s">
        <v>369</v>
      </c>
      <c r="F150" s="2" t="n">
        <v>1</v>
      </c>
      <c r="G150" s="2" t="s">
        <v>1156</v>
      </c>
    </row>
    <row r="151" customFormat="false" ht="15" hidden="false" customHeight="false" outlineLevel="0" collapsed="false">
      <c r="A151" s="2" t="s">
        <v>1203</v>
      </c>
      <c r="B151" s="2" t="s">
        <v>897</v>
      </c>
      <c r="C151" s="2" t="s">
        <v>1003</v>
      </c>
      <c r="D151" s="2" t="s">
        <v>983</v>
      </c>
      <c r="E151" s="2" t="s">
        <v>256</v>
      </c>
      <c r="F151" s="2" t="n">
        <v>1</v>
      </c>
      <c r="G151" s="2" t="s">
        <v>1004</v>
      </c>
    </row>
    <row r="152" customFormat="false" ht="15" hidden="false" customHeight="false" outlineLevel="0" collapsed="false">
      <c r="A152" s="2" t="s">
        <v>1204</v>
      </c>
      <c r="B152" s="2" t="s">
        <v>897</v>
      </c>
      <c r="C152" s="2" t="s">
        <v>1003</v>
      </c>
      <c r="D152" s="2" t="s">
        <v>986</v>
      </c>
      <c r="E152" s="2" t="s">
        <v>392</v>
      </c>
      <c r="F152" s="2" t="n">
        <v>1</v>
      </c>
      <c r="G152" s="2" t="s">
        <v>1006</v>
      </c>
    </row>
    <row r="153" customFormat="false" ht="15" hidden="false" customHeight="false" outlineLevel="0" collapsed="false">
      <c r="A153" s="2" t="s">
        <v>1205</v>
      </c>
      <c r="B153" s="2" t="s">
        <v>897</v>
      </c>
      <c r="C153" s="2" t="s">
        <v>1003</v>
      </c>
      <c r="D153" s="2" t="s">
        <v>989</v>
      </c>
      <c r="E153" s="2" t="s">
        <v>369</v>
      </c>
      <c r="F153" s="2" t="n">
        <v>1</v>
      </c>
      <c r="G153" s="2" t="s">
        <v>1008</v>
      </c>
    </row>
    <row r="154" customFormat="false" ht="15" hidden="false" customHeight="false" outlineLevel="0" collapsed="false">
      <c r="A154" s="2" t="s">
        <v>1206</v>
      </c>
      <c r="B154" s="2" t="s">
        <v>897</v>
      </c>
      <c r="C154" s="2" t="s">
        <v>1003</v>
      </c>
      <c r="D154" s="2" t="s">
        <v>992</v>
      </c>
      <c r="E154" s="2" t="s">
        <v>459</v>
      </c>
      <c r="F154" s="2" t="n">
        <v>1</v>
      </c>
      <c r="G154" s="2" t="s">
        <v>1103</v>
      </c>
    </row>
    <row r="155" customFormat="false" ht="15" hidden="false" customHeight="false" outlineLevel="0" collapsed="false">
      <c r="A155" s="2" t="s">
        <v>1207</v>
      </c>
      <c r="B155" s="2" t="s">
        <v>897</v>
      </c>
      <c r="C155" s="2" t="s">
        <v>1019</v>
      </c>
      <c r="D155" s="2" t="s">
        <v>986</v>
      </c>
      <c r="E155" s="2" t="s">
        <v>239</v>
      </c>
      <c r="F155" s="2" t="n">
        <v>1</v>
      </c>
      <c r="G155" s="2" t="s">
        <v>1020</v>
      </c>
    </row>
    <row r="156" customFormat="false" ht="15" hidden="false" customHeight="false" outlineLevel="0" collapsed="false">
      <c r="A156" s="2" t="s">
        <v>1208</v>
      </c>
      <c r="B156" s="2" t="s">
        <v>897</v>
      </c>
      <c r="C156" s="2" t="s">
        <v>1019</v>
      </c>
      <c r="D156" s="2" t="s">
        <v>989</v>
      </c>
      <c r="E156" s="2" t="s">
        <v>448</v>
      </c>
      <c r="F156" s="2" t="n">
        <v>1</v>
      </c>
      <c r="G156" s="2" t="s">
        <v>1022</v>
      </c>
    </row>
    <row r="157" customFormat="false" ht="15" hidden="false" customHeight="false" outlineLevel="0" collapsed="false">
      <c r="A157" s="2" t="s">
        <v>1209</v>
      </c>
      <c r="B157" s="2" t="s">
        <v>897</v>
      </c>
      <c r="C157" s="2" t="s">
        <v>1019</v>
      </c>
      <c r="D157" s="2" t="s">
        <v>992</v>
      </c>
      <c r="E157" s="2" t="s">
        <v>335</v>
      </c>
      <c r="F157" s="2" t="n">
        <v>1</v>
      </c>
      <c r="G157" s="2" t="s">
        <v>1024</v>
      </c>
    </row>
    <row r="158" customFormat="false" ht="15" hidden="false" customHeight="false" outlineLevel="0" collapsed="false">
      <c r="A158" s="2" t="s">
        <v>1210</v>
      </c>
      <c r="B158" s="2" t="s">
        <v>897</v>
      </c>
      <c r="C158" s="2" t="s">
        <v>1019</v>
      </c>
      <c r="D158" s="2" t="s">
        <v>992</v>
      </c>
      <c r="E158" s="2" t="s">
        <v>369</v>
      </c>
      <c r="F158" s="2" t="n">
        <v>1</v>
      </c>
      <c r="G158" s="2" t="s">
        <v>1024</v>
      </c>
    </row>
    <row r="159" customFormat="false" ht="15" hidden="false" customHeight="false" outlineLevel="0" collapsed="false">
      <c r="A159" s="2" t="s">
        <v>1211</v>
      </c>
      <c r="B159" s="2" t="s">
        <v>897</v>
      </c>
      <c r="C159" s="2" t="s">
        <v>1019</v>
      </c>
      <c r="D159" s="2" t="s">
        <v>992</v>
      </c>
      <c r="E159" s="2" t="s">
        <v>484</v>
      </c>
      <c r="F159" s="2" t="n">
        <v>1</v>
      </c>
      <c r="G159" s="2" t="s">
        <v>1024</v>
      </c>
    </row>
    <row r="160" customFormat="false" ht="15" hidden="false" customHeight="false" outlineLevel="0" collapsed="false">
      <c r="A160" s="2" t="s">
        <v>1212</v>
      </c>
      <c r="B160" s="2" t="s">
        <v>897</v>
      </c>
      <c r="C160" s="2" t="s">
        <v>1026</v>
      </c>
      <c r="D160" s="2" t="s">
        <v>983</v>
      </c>
      <c r="E160" s="2" t="s">
        <v>484</v>
      </c>
      <c r="F160" s="2" t="n">
        <v>1</v>
      </c>
      <c r="G160" s="2" t="s">
        <v>1027</v>
      </c>
    </row>
    <row r="161" customFormat="false" ht="15" hidden="false" customHeight="false" outlineLevel="0" collapsed="false">
      <c r="A161" s="2" t="s">
        <v>1213</v>
      </c>
      <c r="B161" s="2" t="s">
        <v>897</v>
      </c>
      <c r="C161" s="2" t="s">
        <v>1026</v>
      </c>
      <c r="D161" s="2" t="s">
        <v>986</v>
      </c>
      <c r="E161" s="2" t="s">
        <v>239</v>
      </c>
      <c r="F161" s="2" t="n">
        <v>1</v>
      </c>
      <c r="G161" s="2" t="s">
        <v>1029</v>
      </c>
    </row>
    <row r="162" customFormat="false" ht="15" hidden="false" customHeight="false" outlineLevel="0" collapsed="false">
      <c r="A162" s="2" t="s">
        <v>1214</v>
      </c>
      <c r="B162" s="2" t="s">
        <v>897</v>
      </c>
      <c r="C162" s="2" t="s">
        <v>1026</v>
      </c>
      <c r="D162" s="2" t="s">
        <v>989</v>
      </c>
      <c r="E162" s="2" t="s">
        <v>304</v>
      </c>
      <c r="F162" s="2" t="n">
        <v>1</v>
      </c>
      <c r="G162" s="2" t="s">
        <v>1031</v>
      </c>
    </row>
    <row r="163" customFormat="false" ht="15" hidden="false" customHeight="false" outlineLevel="0" collapsed="false">
      <c r="A163" s="2" t="s">
        <v>1215</v>
      </c>
      <c r="B163" s="2" t="s">
        <v>897</v>
      </c>
      <c r="C163" s="2" t="s">
        <v>1026</v>
      </c>
      <c r="D163" s="2" t="s">
        <v>992</v>
      </c>
      <c r="E163" s="2" t="s">
        <v>496</v>
      </c>
      <c r="F163" s="2" t="n">
        <v>1</v>
      </c>
      <c r="G163" s="2" t="s">
        <v>1114</v>
      </c>
    </row>
    <row r="164" customFormat="false" ht="15" hidden="false" customHeight="false" outlineLevel="0" collapsed="false">
      <c r="A164" s="2" t="s">
        <v>1216</v>
      </c>
      <c r="B164" s="2" t="s">
        <v>897</v>
      </c>
      <c r="C164" s="2" t="s">
        <v>1026</v>
      </c>
      <c r="D164" s="2" t="s">
        <v>992</v>
      </c>
      <c r="E164" s="2" t="s">
        <v>459</v>
      </c>
      <c r="F164" s="2" t="n">
        <v>1</v>
      </c>
      <c r="G164" s="2" t="s">
        <v>1114</v>
      </c>
    </row>
    <row r="165" customFormat="false" ht="15" hidden="false" customHeight="false" outlineLevel="0" collapsed="false">
      <c r="A165" s="2" t="s">
        <v>1217</v>
      </c>
      <c r="B165" s="2" t="s">
        <v>897</v>
      </c>
      <c r="C165" s="2" t="s">
        <v>1033</v>
      </c>
      <c r="D165" s="2" t="s">
        <v>983</v>
      </c>
      <c r="E165" s="2" t="s">
        <v>245</v>
      </c>
      <c r="F165" s="2" t="n">
        <v>1</v>
      </c>
      <c r="G165" s="2" t="s">
        <v>1034</v>
      </c>
    </row>
    <row r="166" customFormat="false" ht="15" hidden="false" customHeight="false" outlineLevel="0" collapsed="false">
      <c r="A166" s="2" t="s">
        <v>1218</v>
      </c>
      <c r="B166" s="2" t="s">
        <v>897</v>
      </c>
      <c r="C166" s="2" t="s">
        <v>1033</v>
      </c>
      <c r="D166" s="2" t="s">
        <v>986</v>
      </c>
      <c r="E166" s="2" t="s">
        <v>280</v>
      </c>
      <c r="F166" s="2" t="n">
        <v>1</v>
      </c>
      <c r="G166" s="2" t="s">
        <v>1036</v>
      </c>
    </row>
    <row r="167" customFormat="false" ht="15" hidden="false" customHeight="false" outlineLevel="0" collapsed="false">
      <c r="A167" s="2" t="s">
        <v>1219</v>
      </c>
      <c r="B167" s="2" t="s">
        <v>897</v>
      </c>
      <c r="C167" s="2" t="s">
        <v>1033</v>
      </c>
      <c r="D167" s="2" t="s">
        <v>989</v>
      </c>
      <c r="E167" s="2" t="s">
        <v>311</v>
      </c>
      <c r="F167" s="2" t="n">
        <v>1</v>
      </c>
      <c r="G167" s="2" t="s">
        <v>1038</v>
      </c>
    </row>
    <row r="168" customFormat="false" ht="15" hidden="false" customHeight="false" outlineLevel="0" collapsed="false">
      <c r="A168" s="2" t="s">
        <v>1220</v>
      </c>
      <c r="B168" s="2" t="s">
        <v>897</v>
      </c>
      <c r="C168" s="2" t="s">
        <v>1043</v>
      </c>
      <c r="D168" s="2" t="s">
        <v>983</v>
      </c>
      <c r="E168" s="2" t="s">
        <v>329</v>
      </c>
      <c r="F168" s="2" t="n">
        <v>1</v>
      </c>
      <c r="G168" s="2" t="s">
        <v>1044</v>
      </c>
    </row>
    <row r="169" customFormat="false" ht="15" hidden="false" customHeight="false" outlineLevel="0" collapsed="false">
      <c r="A169" s="2" t="s">
        <v>1221</v>
      </c>
      <c r="B169" s="2" t="s">
        <v>897</v>
      </c>
      <c r="C169" s="2" t="s">
        <v>1043</v>
      </c>
      <c r="D169" s="2" t="s">
        <v>986</v>
      </c>
      <c r="E169" s="2" t="s">
        <v>304</v>
      </c>
      <c r="F169" s="2" t="n">
        <v>1</v>
      </c>
      <c r="G169" s="2" t="s">
        <v>1046</v>
      </c>
    </row>
    <row r="170" customFormat="false" ht="15" hidden="false" customHeight="false" outlineLevel="0" collapsed="false">
      <c r="A170" s="2" t="s">
        <v>1222</v>
      </c>
      <c r="B170" s="2" t="s">
        <v>897</v>
      </c>
      <c r="C170" s="2" t="s">
        <v>1043</v>
      </c>
      <c r="D170" s="2" t="s">
        <v>989</v>
      </c>
      <c r="E170" s="2" t="s">
        <v>262</v>
      </c>
      <c r="F170" s="2" t="n">
        <v>1</v>
      </c>
      <c r="G170" s="2" t="s">
        <v>1048</v>
      </c>
    </row>
    <row r="171" customFormat="false" ht="15" hidden="false" customHeight="false" outlineLevel="0" collapsed="false">
      <c r="A171" s="2" t="s">
        <v>1223</v>
      </c>
      <c r="B171" s="2" t="s">
        <v>897</v>
      </c>
      <c r="C171" s="2" t="s">
        <v>1052</v>
      </c>
      <c r="D171" s="2" t="s">
        <v>983</v>
      </c>
      <c r="E171" s="2" t="s">
        <v>280</v>
      </c>
      <c r="F171" s="2" t="n">
        <v>1</v>
      </c>
      <c r="G171" s="2" t="s">
        <v>1053</v>
      </c>
    </row>
    <row r="172" customFormat="false" ht="15" hidden="false" customHeight="false" outlineLevel="0" collapsed="false">
      <c r="A172" s="2" t="s">
        <v>1224</v>
      </c>
      <c r="B172" s="2" t="s">
        <v>897</v>
      </c>
      <c r="C172" s="2" t="s">
        <v>1052</v>
      </c>
      <c r="D172" s="2" t="s">
        <v>986</v>
      </c>
      <c r="E172" s="2" t="s">
        <v>239</v>
      </c>
      <c r="F172" s="2" t="n">
        <v>1</v>
      </c>
      <c r="G172" s="2" t="s">
        <v>1055</v>
      </c>
    </row>
    <row r="173" customFormat="false" ht="15" hidden="false" customHeight="false" outlineLevel="0" collapsed="false">
      <c r="A173" s="2" t="s">
        <v>1225</v>
      </c>
      <c r="B173" s="2" t="s">
        <v>897</v>
      </c>
      <c r="C173" s="2" t="s">
        <v>1052</v>
      </c>
      <c r="D173" s="2" t="s">
        <v>989</v>
      </c>
      <c r="E173" s="2" t="s">
        <v>335</v>
      </c>
      <c r="F173" s="2" t="n">
        <v>1</v>
      </c>
      <c r="G173" s="2" t="s">
        <v>1057</v>
      </c>
    </row>
    <row r="174" customFormat="false" ht="15" hidden="false" customHeight="false" outlineLevel="0" collapsed="false">
      <c r="A174" s="2" t="s">
        <v>1226</v>
      </c>
      <c r="B174" s="2" t="s">
        <v>897</v>
      </c>
      <c r="C174" s="2" t="s">
        <v>1052</v>
      </c>
      <c r="D174" s="2" t="s">
        <v>992</v>
      </c>
      <c r="E174" s="2" t="s">
        <v>496</v>
      </c>
      <c r="F174" s="2" t="n">
        <v>1</v>
      </c>
      <c r="G174" s="2" t="s">
        <v>1059</v>
      </c>
    </row>
    <row r="175" customFormat="false" ht="15" hidden="false" customHeight="false" outlineLevel="0" collapsed="false">
      <c r="A175" s="2" t="s">
        <v>1227</v>
      </c>
      <c r="B175" s="2" t="s">
        <v>897</v>
      </c>
      <c r="C175" s="2" t="s">
        <v>1061</v>
      </c>
      <c r="D175" s="2" t="s">
        <v>983</v>
      </c>
      <c r="E175" s="2" t="s">
        <v>280</v>
      </c>
      <c r="F175" s="2" t="n">
        <v>1</v>
      </c>
      <c r="G175" s="2" t="s">
        <v>1062</v>
      </c>
    </row>
    <row r="176" customFormat="false" ht="15" hidden="false" customHeight="false" outlineLevel="0" collapsed="false">
      <c r="A176" s="2" t="s">
        <v>1228</v>
      </c>
      <c r="B176" s="2" t="s">
        <v>897</v>
      </c>
      <c r="C176" s="2" t="s">
        <v>1061</v>
      </c>
      <c r="D176" s="2" t="s">
        <v>986</v>
      </c>
      <c r="E176" s="2" t="s">
        <v>274</v>
      </c>
      <c r="F176" s="2" t="n">
        <v>1</v>
      </c>
      <c r="G176" s="2" t="s">
        <v>1064</v>
      </c>
    </row>
    <row r="177" customFormat="false" ht="15" hidden="false" customHeight="false" outlineLevel="0" collapsed="false">
      <c r="A177" s="2" t="s">
        <v>1229</v>
      </c>
      <c r="B177" s="2" t="s">
        <v>897</v>
      </c>
      <c r="C177" s="2" t="s">
        <v>1061</v>
      </c>
      <c r="D177" s="2" t="s">
        <v>989</v>
      </c>
      <c r="E177" s="2" t="s">
        <v>392</v>
      </c>
      <c r="F177" s="2" t="n">
        <v>1</v>
      </c>
      <c r="G177" s="2" t="s">
        <v>1066</v>
      </c>
    </row>
    <row r="178" customFormat="false" ht="15" hidden="false" customHeight="false" outlineLevel="0" collapsed="false">
      <c r="A178" s="2" t="s">
        <v>1230</v>
      </c>
      <c r="B178" s="2" t="s">
        <v>897</v>
      </c>
      <c r="C178" s="2" t="s">
        <v>1061</v>
      </c>
      <c r="D178" s="2" t="s">
        <v>992</v>
      </c>
      <c r="E178" s="2" t="s">
        <v>484</v>
      </c>
      <c r="F178" s="2" t="n">
        <v>1</v>
      </c>
      <c r="G178" s="2" t="s">
        <v>1068</v>
      </c>
    </row>
    <row r="179" customFormat="false" ht="15" hidden="false" customHeight="false" outlineLevel="0" collapsed="false">
      <c r="A179" s="2" t="s">
        <v>1231</v>
      </c>
      <c r="B179" s="2" t="s">
        <v>897</v>
      </c>
      <c r="C179" s="2" t="s">
        <v>1071</v>
      </c>
      <c r="D179" s="2" t="s">
        <v>983</v>
      </c>
      <c r="E179" s="2" t="s">
        <v>274</v>
      </c>
      <c r="F179" s="2" t="n">
        <v>1</v>
      </c>
      <c r="G179" s="2" t="s">
        <v>1138</v>
      </c>
    </row>
    <row r="180" customFormat="false" ht="15" hidden="false" customHeight="false" outlineLevel="0" collapsed="false">
      <c r="A180" s="2" t="s">
        <v>1232</v>
      </c>
      <c r="B180" s="2" t="s">
        <v>897</v>
      </c>
      <c r="C180" s="2" t="s">
        <v>1071</v>
      </c>
      <c r="D180" s="2" t="s">
        <v>986</v>
      </c>
      <c r="E180" s="2" t="s">
        <v>227</v>
      </c>
      <c r="F180" s="2" t="n">
        <v>1</v>
      </c>
      <c r="G180" s="2" t="s">
        <v>1072</v>
      </c>
    </row>
    <row r="181" customFormat="false" ht="15" hidden="false" customHeight="false" outlineLevel="0" collapsed="false">
      <c r="A181" s="2" t="s">
        <v>1233</v>
      </c>
      <c r="B181" s="2" t="s">
        <v>897</v>
      </c>
      <c r="C181" s="2" t="s">
        <v>220</v>
      </c>
      <c r="D181" s="2" t="s">
        <v>986</v>
      </c>
      <c r="E181" s="2" t="s">
        <v>239</v>
      </c>
      <c r="F181" s="2" t="n">
        <v>1</v>
      </c>
      <c r="G181" s="2" t="s">
        <v>1078</v>
      </c>
    </row>
    <row r="182" customFormat="false" ht="15" hidden="false" customHeight="false" outlineLevel="0" collapsed="false">
      <c r="A182" s="2" t="s">
        <v>1234</v>
      </c>
      <c r="B182" s="2" t="s">
        <v>897</v>
      </c>
      <c r="C182" s="2" t="s">
        <v>220</v>
      </c>
      <c r="D182" s="2" t="s">
        <v>989</v>
      </c>
      <c r="E182" s="2" t="s">
        <v>418</v>
      </c>
      <c r="F182" s="2" t="n">
        <v>1</v>
      </c>
      <c r="G182" s="2" t="s">
        <v>1080</v>
      </c>
    </row>
    <row r="183" customFormat="false" ht="15" hidden="false" customHeight="false" outlineLevel="0" collapsed="false">
      <c r="A183" s="2" t="s">
        <v>1235</v>
      </c>
      <c r="B183" s="2" t="s">
        <v>897</v>
      </c>
      <c r="C183" s="2" t="s">
        <v>220</v>
      </c>
      <c r="D183" s="2" t="s">
        <v>992</v>
      </c>
      <c r="E183" s="2" t="s">
        <v>459</v>
      </c>
      <c r="F183" s="2" t="n">
        <v>1</v>
      </c>
      <c r="G183" s="2" t="s">
        <v>1082</v>
      </c>
    </row>
    <row r="184" customFormat="false" ht="15" hidden="false" customHeight="false" outlineLevel="0" collapsed="false">
      <c r="A184" s="2" t="s">
        <v>1236</v>
      </c>
      <c r="B184" s="2" t="s">
        <v>900</v>
      </c>
      <c r="C184" s="2" t="s">
        <v>1085</v>
      </c>
      <c r="D184" s="2" t="s">
        <v>983</v>
      </c>
      <c r="E184" s="2" t="s">
        <v>484</v>
      </c>
      <c r="F184" s="2" t="n">
        <v>1</v>
      </c>
      <c r="G184" s="2" t="s">
        <v>1086</v>
      </c>
    </row>
    <row r="185" customFormat="false" ht="15" hidden="false" customHeight="false" outlineLevel="0" collapsed="false">
      <c r="A185" s="2" t="s">
        <v>1237</v>
      </c>
      <c r="B185" s="2" t="s">
        <v>900</v>
      </c>
      <c r="C185" s="2" t="s">
        <v>1085</v>
      </c>
      <c r="D185" s="2" t="s">
        <v>986</v>
      </c>
      <c r="E185" s="2" t="s">
        <v>304</v>
      </c>
      <c r="F185" s="2" t="n">
        <v>1</v>
      </c>
      <c r="G185" s="2" t="s">
        <v>1088</v>
      </c>
    </row>
    <row r="186" customFormat="false" ht="15" hidden="false" customHeight="false" outlineLevel="0" collapsed="false">
      <c r="A186" s="2" t="s">
        <v>1238</v>
      </c>
      <c r="B186" s="2" t="s">
        <v>900</v>
      </c>
      <c r="C186" s="2" t="s">
        <v>1085</v>
      </c>
      <c r="D186" s="2" t="s">
        <v>989</v>
      </c>
      <c r="E186" s="2" t="s">
        <v>386</v>
      </c>
      <c r="F186" s="2" t="n">
        <v>1</v>
      </c>
      <c r="G186" s="2" t="s">
        <v>1090</v>
      </c>
    </row>
    <row r="187" customFormat="false" ht="15" hidden="false" customHeight="false" outlineLevel="0" collapsed="false">
      <c r="A187" s="2" t="s">
        <v>1239</v>
      </c>
      <c r="B187" s="2" t="s">
        <v>900</v>
      </c>
      <c r="C187" s="2" t="s">
        <v>1085</v>
      </c>
      <c r="D187" s="2" t="s">
        <v>992</v>
      </c>
      <c r="E187" s="2" t="s">
        <v>369</v>
      </c>
      <c r="F187" s="2" t="n">
        <v>1</v>
      </c>
      <c r="G187" s="2" t="s">
        <v>1092</v>
      </c>
    </row>
    <row r="188" customFormat="false" ht="15" hidden="false" customHeight="false" outlineLevel="0" collapsed="false">
      <c r="A188" s="2" t="s">
        <v>1240</v>
      </c>
      <c r="B188" s="2" t="s">
        <v>900</v>
      </c>
      <c r="C188" s="2" t="s">
        <v>982</v>
      </c>
      <c r="D188" s="2" t="s">
        <v>983</v>
      </c>
      <c r="E188" s="2" t="s">
        <v>268</v>
      </c>
      <c r="F188" s="2" t="n">
        <v>1</v>
      </c>
      <c r="G188" s="2" t="s">
        <v>984</v>
      </c>
    </row>
    <row r="189" customFormat="false" ht="15" hidden="false" customHeight="false" outlineLevel="0" collapsed="false">
      <c r="A189" s="2" t="s">
        <v>1241</v>
      </c>
      <c r="B189" s="2" t="s">
        <v>900</v>
      </c>
      <c r="C189" s="2" t="s">
        <v>982</v>
      </c>
      <c r="D189" s="2" t="s">
        <v>986</v>
      </c>
      <c r="E189" s="2" t="s">
        <v>292</v>
      </c>
      <c r="F189" s="2" t="n">
        <v>1</v>
      </c>
      <c r="G189" s="2" t="s">
        <v>987</v>
      </c>
    </row>
    <row r="190" customFormat="false" ht="15" hidden="false" customHeight="false" outlineLevel="0" collapsed="false">
      <c r="A190" s="2" t="s">
        <v>1242</v>
      </c>
      <c r="B190" s="2" t="s">
        <v>900</v>
      </c>
      <c r="C190" s="2" t="s">
        <v>982</v>
      </c>
      <c r="D190" s="2" t="s">
        <v>989</v>
      </c>
      <c r="E190" s="2" t="s">
        <v>399</v>
      </c>
      <c r="F190" s="2" t="n">
        <v>1</v>
      </c>
      <c r="G190" s="2" t="s">
        <v>990</v>
      </c>
    </row>
    <row r="191" customFormat="false" ht="15" hidden="false" customHeight="false" outlineLevel="0" collapsed="false">
      <c r="A191" s="2" t="s">
        <v>1243</v>
      </c>
      <c r="B191" s="2" t="s">
        <v>900</v>
      </c>
      <c r="C191" s="2" t="s">
        <v>982</v>
      </c>
      <c r="D191" s="2" t="s">
        <v>992</v>
      </c>
      <c r="E191" s="2" t="s">
        <v>484</v>
      </c>
      <c r="F191" s="2" t="n">
        <v>1</v>
      </c>
      <c r="G191" s="2" t="s">
        <v>993</v>
      </c>
    </row>
    <row r="192" customFormat="false" ht="15" hidden="false" customHeight="false" outlineLevel="0" collapsed="false">
      <c r="A192" s="2" t="s">
        <v>1244</v>
      </c>
      <c r="B192" s="2" t="s">
        <v>900</v>
      </c>
      <c r="C192" s="2" t="s">
        <v>996</v>
      </c>
      <c r="D192" s="2" t="s">
        <v>983</v>
      </c>
      <c r="E192" s="2" t="s">
        <v>317</v>
      </c>
      <c r="F192" s="2" t="n">
        <v>1</v>
      </c>
      <c r="G192" s="2" t="s">
        <v>997</v>
      </c>
    </row>
    <row r="193" customFormat="false" ht="15" hidden="false" customHeight="false" outlineLevel="0" collapsed="false">
      <c r="A193" s="2" t="s">
        <v>1245</v>
      </c>
      <c r="B193" s="2" t="s">
        <v>900</v>
      </c>
      <c r="C193" s="2" t="s">
        <v>996</v>
      </c>
      <c r="D193" s="2" t="s">
        <v>986</v>
      </c>
      <c r="E193" s="2" t="s">
        <v>304</v>
      </c>
      <c r="F193" s="2" t="n">
        <v>1</v>
      </c>
      <c r="G193" s="2" t="s">
        <v>999</v>
      </c>
    </row>
    <row r="194" customFormat="false" ht="15" hidden="false" customHeight="false" outlineLevel="0" collapsed="false">
      <c r="A194" s="2" t="s">
        <v>1246</v>
      </c>
      <c r="B194" s="2" t="s">
        <v>900</v>
      </c>
      <c r="C194" s="2" t="s">
        <v>996</v>
      </c>
      <c r="D194" s="2" t="s">
        <v>989</v>
      </c>
      <c r="E194" s="2" t="s">
        <v>211</v>
      </c>
      <c r="F194" s="2" t="n">
        <v>1</v>
      </c>
      <c r="G194" s="2" t="s">
        <v>1001</v>
      </c>
    </row>
    <row r="195" customFormat="false" ht="15" hidden="false" customHeight="false" outlineLevel="0" collapsed="false">
      <c r="A195" s="2" t="s">
        <v>1247</v>
      </c>
      <c r="B195" s="2" t="s">
        <v>900</v>
      </c>
      <c r="C195" s="2" t="s">
        <v>996</v>
      </c>
      <c r="D195" s="2" t="s">
        <v>992</v>
      </c>
      <c r="E195" s="2" t="s">
        <v>335</v>
      </c>
      <c r="F195" s="2" t="n">
        <v>1</v>
      </c>
      <c r="G195" s="2" t="s">
        <v>1156</v>
      </c>
    </row>
    <row r="196" customFormat="false" ht="15" hidden="false" customHeight="false" outlineLevel="0" collapsed="false">
      <c r="A196" s="2" t="s">
        <v>1248</v>
      </c>
      <c r="B196" s="2" t="s">
        <v>900</v>
      </c>
      <c r="C196" s="2" t="s">
        <v>996</v>
      </c>
      <c r="D196" s="2" t="s">
        <v>992</v>
      </c>
      <c r="E196" s="2" t="s">
        <v>490</v>
      </c>
      <c r="F196" s="2" t="n">
        <v>1</v>
      </c>
      <c r="G196" s="2" t="s">
        <v>1156</v>
      </c>
    </row>
    <row r="197" customFormat="false" ht="15" hidden="false" customHeight="false" outlineLevel="0" collapsed="false">
      <c r="A197" s="2" t="s">
        <v>1249</v>
      </c>
      <c r="B197" s="2" t="s">
        <v>900</v>
      </c>
      <c r="C197" s="2" t="s">
        <v>1003</v>
      </c>
      <c r="D197" s="2" t="s">
        <v>983</v>
      </c>
      <c r="E197" s="2" t="s">
        <v>211</v>
      </c>
      <c r="F197" s="2" t="n">
        <v>1</v>
      </c>
      <c r="G197" s="2" t="s">
        <v>1004</v>
      </c>
    </row>
    <row r="198" customFormat="false" ht="15" hidden="false" customHeight="false" outlineLevel="0" collapsed="false">
      <c r="A198" s="2" t="s">
        <v>1250</v>
      </c>
      <c r="B198" s="2" t="s">
        <v>900</v>
      </c>
      <c r="C198" s="2" t="s">
        <v>1003</v>
      </c>
      <c r="D198" s="2" t="s">
        <v>986</v>
      </c>
      <c r="E198" s="2" t="s">
        <v>233</v>
      </c>
      <c r="F198" s="2" t="n">
        <v>1</v>
      </c>
      <c r="G198" s="2" t="s">
        <v>1006</v>
      </c>
    </row>
    <row r="199" customFormat="false" ht="15" hidden="false" customHeight="false" outlineLevel="0" collapsed="false">
      <c r="A199" s="2" t="s">
        <v>1251</v>
      </c>
      <c r="B199" s="2" t="s">
        <v>900</v>
      </c>
      <c r="C199" s="2" t="s">
        <v>1003</v>
      </c>
      <c r="D199" s="2" t="s">
        <v>989</v>
      </c>
      <c r="E199" s="2" t="s">
        <v>347</v>
      </c>
      <c r="F199" s="2" t="n">
        <v>1</v>
      </c>
      <c r="G199" s="2" t="s">
        <v>1008</v>
      </c>
    </row>
    <row r="200" customFormat="false" ht="15" hidden="false" customHeight="false" outlineLevel="0" collapsed="false">
      <c r="A200" s="2" t="s">
        <v>1252</v>
      </c>
      <c r="B200" s="2" t="s">
        <v>900</v>
      </c>
      <c r="C200" s="2" t="s">
        <v>1003</v>
      </c>
      <c r="D200" s="2" t="s">
        <v>992</v>
      </c>
      <c r="E200" s="2" t="s">
        <v>466</v>
      </c>
      <c r="F200" s="2" t="n">
        <v>1</v>
      </c>
      <c r="G200" s="2" t="s">
        <v>1103</v>
      </c>
    </row>
    <row r="201" customFormat="false" ht="15" hidden="false" customHeight="false" outlineLevel="0" collapsed="false">
      <c r="A201" s="2" t="s">
        <v>1253</v>
      </c>
      <c r="B201" s="2" t="s">
        <v>900</v>
      </c>
      <c r="C201" s="2" t="s">
        <v>1003</v>
      </c>
      <c r="D201" s="2" t="s">
        <v>992</v>
      </c>
      <c r="E201" s="2" t="s">
        <v>484</v>
      </c>
      <c r="F201" s="2" t="n">
        <v>1</v>
      </c>
      <c r="G201" s="2" t="s">
        <v>1103</v>
      </c>
    </row>
    <row r="202" customFormat="false" ht="15" hidden="false" customHeight="false" outlineLevel="0" collapsed="false">
      <c r="A202" s="2" t="s">
        <v>1254</v>
      </c>
      <c r="B202" s="2" t="s">
        <v>900</v>
      </c>
      <c r="C202" s="2" t="s">
        <v>1010</v>
      </c>
      <c r="D202" s="2" t="s">
        <v>986</v>
      </c>
      <c r="E202" s="2" t="s">
        <v>380</v>
      </c>
      <c r="F202" s="2" t="n">
        <v>1</v>
      </c>
      <c r="G202" s="2" t="s">
        <v>1013</v>
      </c>
    </row>
    <row r="203" customFormat="false" ht="15" hidden="false" customHeight="false" outlineLevel="0" collapsed="false">
      <c r="A203" s="2" t="s">
        <v>1255</v>
      </c>
      <c r="B203" s="2" t="s">
        <v>900</v>
      </c>
      <c r="C203" s="2" t="s">
        <v>1010</v>
      </c>
      <c r="D203" s="2" t="s">
        <v>989</v>
      </c>
      <c r="E203" s="2" t="s">
        <v>256</v>
      </c>
      <c r="F203" s="2" t="n">
        <v>1</v>
      </c>
      <c r="G203" s="2" t="s">
        <v>1015</v>
      </c>
    </row>
    <row r="204" customFormat="false" ht="15" hidden="false" customHeight="false" outlineLevel="0" collapsed="false">
      <c r="A204" s="2" t="s">
        <v>1256</v>
      </c>
      <c r="B204" s="2" t="s">
        <v>900</v>
      </c>
      <c r="C204" s="2" t="s">
        <v>1010</v>
      </c>
      <c r="D204" s="2" t="s">
        <v>992</v>
      </c>
      <c r="E204" s="2" t="s">
        <v>496</v>
      </c>
      <c r="F204" s="2" t="n">
        <v>1</v>
      </c>
      <c r="G204" s="2" t="s">
        <v>1017</v>
      </c>
    </row>
    <row r="205" customFormat="false" ht="15" hidden="false" customHeight="false" outlineLevel="0" collapsed="false">
      <c r="A205" s="2" t="s">
        <v>1257</v>
      </c>
      <c r="B205" s="2" t="s">
        <v>900</v>
      </c>
      <c r="C205" s="2" t="s">
        <v>1019</v>
      </c>
      <c r="D205" s="2" t="s">
        <v>983</v>
      </c>
      <c r="E205" s="2" t="s">
        <v>352</v>
      </c>
      <c r="F205" s="2" t="n">
        <v>1</v>
      </c>
      <c r="G205" s="2" t="s">
        <v>1107</v>
      </c>
    </row>
    <row r="206" customFormat="false" ht="15" hidden="false" customHeight="false" outlineLevel="0" collapsed="false">
      <c r="A206" s="2" t="s">
        <v>1258</v>
      </c>
      <c r="B206" s="2" t="s">
        <v>900</v>
      </c>
      <c r="C206" s="2" t="s">
        <v>1019</v>
      </c>
      <c r="D206" s="2" t="s">
        <v>986</v>
      </c>
      <c r="E206" s="2" t="s">
        <v>262</v>
      </c>
      <c r="F206" s="2" t="n">
        <v>1</v>
      </c>
      <c r="G206" s="2" t="s">
        <v>1020</v>
      </c>
    </row>
    <row r="207" customFormat="false" ht="15" hidden="false" customHeight="false" outlineLevel="0" collapsed="false">
      <c r="A207" s="2" t="s">
        <v>1259</v>
      </c>
      <c r="B207" s="2" t="s">
        <v>900</v>
      </c>
      <c r="C207" s="2" t="s">
        <v>1019</v>
      </c>
      <c r="D207" s="2" t="s">
        <v>989</v>
      </c>
      <c r="E207" s="2" t="s">
        <v>363</v>
      </c>
      <c r="F207" s="2" t="n">
        <v>1</v>
      </c>
      <c r="G207" s="2" t="s">
        <v>1022</v>
      </c>
    </row>
    <row r="208" customFormat="false" ht="15" hidden="false" customHeight="false" outlineLevel="0" collapsed="false">
      <c r="A208" s="2" t="s">
        <v>1260</v>
      </c>
      <c r="B208" s="2" t="s">
        <v>900</v>
      </c>
      <c r="C208" s="2" t="s">
        <v>1019</v>
      </c>
      <c r="D208" s="2" t="s">
        <v>992</v>
      </c>
      <c r="E208" s="2" t="s">
        <v>466</v>
      </c>
      <c r="F208" s="2" t="n">
        <v>1</v>
      </c>
      <c r="G208" s="2" t="s">
        <v>1024</v>
      </c>
    </row>
    <row r="209" customFormat="false" ht="15" hidden="false" customHeight="false" outlineLevel="0" collapsed="false">
      <c r="A209" s="2" t="s">
        <v>1261</v>
      </c>
      <c r="B209" s="2" t="s">
        <v>900</v>
      </c>
      <c r="C209" s="2" t="s">
        <v>1026</v>
      </c>
      <c r="D209" s="2" t="s">
        <v>983</v>
      </c>
      <c r="E209" s="2" t="s">
        <v>459</v>
      </c>
      <c r="F209" s="2" t="n">
        <v>1</v>
      </c>
      <c r="G209" s="2" t="s">
        <v>1027</v>
      </c>
    </row>
    <row r="210" customFormat="false" ht="15" hidden="false" customHeight="false" outlineLevel="0" collapsed="false">
      <c r="A210" s="2" t="s">
        <v>1262</v>
      </c>
      <c r="B210" s="2" t="s">
        <v>900</v>
      </c>
      <c r="C210" s="2" t="s">
        <v>1026</v>
      </c>
      <c r="D210" s="2" t="s">
        <v>986</v>
      </c>
      <c r="E210" s="2" t="s">
        <v>250</v>
      </c>
      <c r="F210" s="2" t="n">
        <v>1</v>
      </c>
      <c r="G210" s="2" t="s">
        <v>1029</v>
      </c>
    </row>
    <row r="211" customFormat="false" ht="15" hidden="false" customHeight="false" outlineLevel="0" collapsed="false">
      <c r="A211" s="2" t="s">
        <v>1263</v>
      </c>
      <c r="B211" s="2" t="s">
        <v>900</v>
      </c>
      <c r="C211" s="2" t="s">
        <v>1026</v>
      </c>
      <c r="D211" s="2" t="s">
        <v>989</v>
      </c>
      <c r="E211" s="2" t="s">
        <v>399</v>
      </c>
      <c r="F211" s="2" t="n">
        <v>1</v>
      </c>
      <c r="G211" s="2" t="s">
        <v>1031</v>
      </c>
    </row>
    <row r="212" customFormat="false" ht="15" hidden="false" customHeight="false" outlineLevel="0" collapsed="false">
      <c r="A212" s="2" t="s">
        <v>1264</v>
      </c>
      <c r="B212" s="2" t="s">
        <v>900</v>
      </c>
      <c r="C212" s="2" t="s">
        <v>1026</v>
      </c>
      <c r="D212" s="2" t="s">
        <v>992</v>
      </c>
      <c r="E212" s="2" t="s">
        <v>496</v>
      </c>
      <c r="F212" s="2" t="n">
        <v>1</v>
      </c>
      <c r="G212" s="2" t="s">
        <v>1114</v>
      </c>
    </row>
    <row r="213" customFormat="false" ht="15" hidden="false" customHeight="false" outlineLevel="0" collapsed="false">
      <c r="A213" s="2" t="s">
        <v>1265</v>
      </c>
      <c r="B213" s="2" t="s">
        <v>900</v>
      </c>
      <c r="C213" s="2" t="s">
        <v>1033</v>
      </c>
      <c r="D213" s="2" t="s">
        <v>986</v>
      </c>
      <c r="E213" s="2" t="s">
        <v>304</v>
      </c>
      <c r="F213" s="2" t="n">
        <v>1</v>
      </c>
      <c r="G213" s="2" t="s">
        <v>1036</v>
      </c>
    </row>
    <row r="214" customFormat="false" ht="15" hidden="false" customHeight="false" outlineLevel="0" collapsed="false">
      <c r="A214" s="2" t="s">
        <v>1266</v>
      </c>
      <c r="B214" s="2" t="s">
        <v>900</v>
      </c>
      <c r="C214" s="2" t="s">
        <v>1033</v>
      </c>
      <c r="D214" s="2" t="s">
        <v>989</v>
      </c>
      <c r="E214" s="2" t="s">
        <v>335</v>
      </c>
      <c r="F214" s="2" t="n">
        <v>1</v>
      </c>
      <c r="G214" s="2" t="s">
        <v>1038</v>
      </c>
    </row>
    <row r="215" customFormat="false" ht="15" hidden="false" customHeight="false" outlineLevel="0" collapsed="false">
      <c r="A215" s="2" t="s">
        <v>1267</v>
      </c>
      <c r="B215" s="2" t="s">
        <v>900</v>
      </c>
      <c r="C215" s="2" t="s">
        <v>1033</v>
      </c>
      <c r="D215" s="2" t="s">
        <v>992</v>
      </c>
      <c r="E215" s="2" t="s">
        <v>466</v>
      </c>
      <c r="F215" s="2" t="n">
        <v>1</v>
      </c>
      <c r="G215" s="2" t="s">
        <v>1040</v>
      </c>
    </row>
    <row r="216" customFormat="false" ht="15" hidden="false" customHeight="false" outlineLevel="0" collapsed="false">
      <c r="A216" s="2" t="s">
        <v>1268</v>
      </c>
      <c r="B216" s="2" t="s">
        <v>900</v>
      </c>
      <c r="C216" s="2" t="s">
        <v>1043</v>
      </c>
      <c r="D216" s="2" t="s">
        <v>983</v>
      </c>
      <c r="E216" s="2" t="s">
        <v>335</v>
      </c>
      <c r="F216" s="2" t="n">
        <v>1</v>
      </c>
      <c r="G216" s="2" t="s">
        <v>1044</v>
      </c>
    </row>
    <row r="217" customFormat="false" ht="15" hidden="false" customHeight="false" outlineLevel="0" collapsed="false">
      <c r="A217" s="2" t="s">
        <v>1269</v>
      </c>
      <c r="B217" s="2" t="s">
        <v>900</v>
      </c>
      <c r="C217" s="2" t="s">
        <v>1043</v>
      </c>
      <c r="D217" s="2" t="s">
        <v>986</v>
      </c>
      <c r="E217" s="2" t="s">
        <v>227</v>
      </c>
      <c r="F217" s="2" t="n">
        <v>1</v>
      </c>
      <c r="G217" s="2" t="s">
        <v>1046</v>
      </c>
    </row>
    <row r="218" customFormat="false" ht="15" hidden="false" customHeight="false" outlineLevel="0" collapsed="false">
      <c r="A218" s="2" t="s">
        <v>1270</v>
      </c>
      <c r="B218" s="2" t="s">
        <v>900</v>
      </c>
      <c r="C218" s="2" t="s">
        <v>1043</v>
      </c>
      <c r="D218" s="2" t="s">
        <v>992</v>
      </c>
      <c r="E218" s="2" t="s">
        <v>335</v>
      </c>
      <c r="F218" s="2" t="n">
        <v>1</v>
      </c>
      <c r="G218" s="2" t="s">
        <v>1050</v>
      </c>
    </row>
    <row r="219" customFormat="false" ht="15" hidden="false" customHeight="false" outlineLevel="0" collapsed="false">
      <c r="A219" s="2" t="s">
        <v>1271</v>
      </c>
      <c r="B219" s="2" t="s">
        <v>900</v>
      </c>
      <c r="C219" s="2" t="s">
        <v>1043</v>
      </c>
      <c r="D219" s="2" t="s">
        <v>992</v>
      </c>
      <c r="E219" s="2" t="s">
        <v>484</v>
      </c>
      <c r="F219" s="2" t="n">
        <v>1</v>
      </c>
      <c r="G219" s="2" t="s">
        <v>1050</v>
      </c>
    </row>
    <row r="220" customFormat="false" ht="15" hidden="false" customHeight="false" outlineLevel="0" collapsed="false">
      <c r="A220" s="2" t="s">
        <v>1272</v>
      </c>
      <c r="B220" s="2" t="s">
        <v>900</v>
      </c>
      <c r="C220" s="2" t="s">
        <v>1043</v>
      </c>
      <c r="D220" s="2" t="s">
        <v>992</v>
      </c>
      <c r="E220" s="2" t="s">
        <v>477</v>
      </c>
      <c r="F220" s="2" t="n">
        <v>1</v>
      </c>
      <c r="G220" s="2" t="s">
        <v>1050</v>
      </c>
    </row>
    <row r="221" customFormat="false" ht="15" hidden="false" customHeight="false" outlineLevel="0" collapsed="false">
      <c r="A221" s="2" t="s">
        <v>1273</v>
      </c>
      <c r="B221" s="2" t="s">
        <v>900</v>
      </c>
      <c r="C221" s="2" t="s">
        <v>1128</v>
      </c>
      <c r="D221" s="2" t="s">
        <v>986</v>
      </c>
      <c r="E221" s="2" t="s">
        <v>211</v>
      </c>
      <c r="F221" s="2" t="n">
        <v>1</v>
      </c>
      <c r="G221" s="2" t="s">
        <v>1131</v>
      </c>
    </row>
    <row r="222" customFormat="false" ht="15" hidden="false" customHeight="false" outlineLevel="0" collapsed="false">
      <c r="A222" s="2" t="s">
        <v>1274</v>
      </c>
      <c r="B222" s="2" t="s">
        <v>900</v>
      </c>
      <c r="C222" s="2" t="s">
        <v>1128</v>
      </c>
      <c r="D222" s="2" t="s">
        <v>989</v>
      </c>
      <c r="E222" s="2" t="s">
        <v>357</v>
      </c>
      <c r="F222" s="2" t="n">
        <v>1</v>
      </c>
      <c r="G222" s="2" t="s">
        <v>1133</v>
      </c>
    </row>
    <row r="223" customFormat="false" ht="15" hidden="false" customHeight="false" outlineLevel="0" collapsed="false">
      <c r="A223" s="2" t="s">
        <v>1275</v>
      </c>
      <c r="B223" s="2" t="s">
        <v>900</v>
      </c>
      <c r="C223" s="2" t="s">
        <v>1128</v>
      </c>
      <c r="D223" s="2" t="s">
        <v>992</v>
      </c>
      <c r="E223" s="2" t="s">
        <v>496</v>
      </c>
      <c r="F223" s="2" t="n">
        <v>1</v>
      </c>
      <c r="G223" s="2" t="s">
        <v>1135</v>
      </c>
    </row>
    <row r="224" customFormat="false" ht="15" hidden="false" customHeight="false" outlineLevel="0" collapsed="false">
      <c r="A224" s="2" t="s">
        <v>1276</v>
      </c>
      <c r="B224" s="2" t="s">
        <v>900</v>
      </c>
      <c r="C224" s="2" t="s">
        <v>1128</v>
      </c>
      <c r="D224" s="2" t="s">
        <v>992</v>
      </c>
      <c r="E224" s="2" t="s">
        <v>369</v>
      </c>
      <c r="F224" s="2" t="n">
        <v>1</v>
      </c>
      <c r="G224" s="2" t="s">
        <v>1135</v>
      </c>
    </row>
    <row r="225" customFormat="false" ht="15" hidden="false" customHeight="false" outlineLevel="0" collapsed="false">
      <c r="A225" s="2" t="s">
        <v>1277</v>
      </c>
      <c r="B225" s="2" t="s">
        <v>900</v>
      </c>
      <c r="C225" s="2" t="s">
        <v>1061</v>
      </c>
      <c r="D225" s="2" t="s">
        <v>983</v>
      </c>
      <c r="E225" s="2" t="s">
        <v>262</v>
      </c>
      <c r="F225" s="2" t="n">
        <v>1</v>
      </c>
      <c r="G225" s="2" t="s">
        <v>1062</v>
      </c>
    </row>
    <row r="226" customFormat="false" ht="15" hidden="false" customHeight="false" outlineLevel="0" collapsed="false">
      <c r="A226" s="2" t="s">
        <v>1278</v>
      </c>
      <c r="B226" s="2" t="s">
        <v>900</v>
      </c>
      <c r="C226" s="2" t="s">
        <v>1061</v>
      </c>
      <c r="D226" s="2" t="s">
        <v>986</v>
      </c>
      <c r="E226" s="2" t="s">
        <v>262</v>
      </c>
      <c r="F226" s="2" t="n">
        <v>1</v>
      </c>
      <c r="G226" s="2" t="s">
        <v>1064</v>
      </c>
    </row>
    <row r="227" customFormat="false" ht="15" hidden="false" customHeight="false" outlineLevel="0" collapsed="false">
      <c r="A227" s="2" t="s">
        <v>1279</v>
      </c>
      <c r="B227" s="2" t="s">
        <v>900</v>
      </c>
      <c r="C227" s="2" t="s">
        <v>1061</v>
      </c>
      <c r="D227" s="2" t="s">
        <v>989</v>
      </c>
      <c r="E227" s="2" t="s">
        <v>448</v>
      </c>
      <c r="F227" s="2" t="n">
        <v>1</v>
      </c>
      <c r="G227" s="2" t="s">
        <v>1066</v>
      </c>
    </row>
    <row r="228" customFormat="false" ht="15" hidden="false" customHeight="false" outlineLevel="0" collapsed="false">
      <c r="A228" s="2" t="s">
        <v>1280</v>
      </c>
      <c r="B228" s="2" t="s">
        <v>900</v>
      </c>
      <c r="C228" s="2" t="s">
        <v>1061</v>
      </c>
      <c r="D228" s="2" t="s">
        <v>992</v>
      </c>
      <c r="E228" s="2" t="s">
        <v>369</v>
      </c>
      <c r="F228" s="2" t="n">
        <v>1</v>
      </c>
      <c r="G228" s="2" t="s">
        <v>1068</v>
      </c>
    </row>
    <row r="229" customFormat="false" ht="15" hidden="false" customHeight="false" outlineLevel="0" collapsed="false">
      <c r="A229" s="2" t="s">
        <v>1281</v>
      </c>
      <c r="B229" s="2" t="s">
        <v>900</v>
      </c>
      <c r="C229" s="2" t="s">
        <v>1071</v>
      </c>
      <c r="D229" s="2" t="s">
        <v>986</v>
      </c>
      <c r="E229" s="2" t="s">
        <v>380</v>
      </c>
      <c r="F229" s="2" t="n">
        <v>1</v>
      </c>
      <c r="G229" s="2" t="s">
        <v>1072</v>
      </c>
    </row>
    <row r="230" customFormat="false" ht="15" hidden="false" customHeight="false" outlineLevel="0" collapsed="false">
      <c r="A230" s="2" t="s">
        <v>1282</v>
      </c>
      <c r="B230" s="2" t="s">
        <v>900</v>
      </c>
      <c r="C230" s="2" t="s">
        <v>1071</v>
      </c>
      <c r="D230" s="2" t="s">
        <v>989</v>
      </c>
      <c r="E230" s="2" t="s">
        <v>363</v>
      </c>
      <c r="F230" s="2" t="n">
        <v>1</v>
      </c>
      <c r="G230" s="2" t="s">
        <v>1074</v>
      </c>
    </row>
    <row r="231" customFormat="false" ht="15" hidden="false" customHeight="false" outlineLevel="0" collapsed="false">
      <c r="A231" s="2" t="s">
        <v>1283</v>
      </c>
      <c r="B231" s="2" t="s">
        <v>900</v>
      </c>
      <c r="C231" s="2" t="s">
        <v>1071</v>
      </c>
      <c r="D231" s="2" t="s">
        <v>992</v>
      </c>
      <c r="E231" s="2" t="s">
        <v>484</v>
      </c>
      <c r="F231" s="2" t="n">
        <v>1</v>
      </c>
      <c r="G231" s="2" t="s">
        <v>1141</v>
      </c>
    </row>
    <row r="232" customFormat="false" ht="15" hidden="false" customHeight="false" outlineLevel="0" collapsed="false">
      <c r="A232" s="2" t="s">
        <v>1284</v>
      </c>
      <c r="B232" s="2" t="s">
        <v>900</v>
      </c>
      <c r="C232" s="2" t="s">
        <v>1071</v>
      </c>
      <c r="D232" s="2" t="s">
        <v>992</v>
      </c>
      <c r="E232" s="2" t="s">
        <v>335</v>
      </c>
      <c r="F232" s="2" t="n">
        <v>1</v>
      </c>
      <c r="G232" s="2" t="s">
        <v>1141</v>
      </c>
    </row>
    <row r="233" customFormat="false" ht="15" hidden="false" customHeight="false" outlineLevel="0" collapsed="false">
      <c r="A233" s="2" t="s">
        <v>1285</v>
      </c>
      <c r="B233" s="2" t="s">
        <v>903</v>
      </c>
      <c r="C233" s="2" t="s">
        <v>1085</v>
      </c>
      <c r="D233" s="2" t="s">
        <v>983</v>
      </c>
      <c r="E233" s="2" t="s">
        <v>335</v>
      </c>
      <c r="F233" s="2" t="n">
        <v>1</v>
      </c>
      <c r="G233" s="2" t="s">
        <v>1086</v>
      </c>
    </row>
    <row r="234" customFormat="false" ht="15" hidden="false" customHeight="false" outlineLevel="0" collapsed="false">
      <c r="A234" s="2" t="s">
        <v>1286</v>
      </c>
      <c r="B234" s="2" t="s">
        <v>903</v>
      </c>
      <c r="C234" s="2" t="s">
        <v>1085</v>
      </c>
      <c r="D234" s="2" t="s">
        <v>986</v>
      </c>
      <c r="E234" s="2" t="s">
        <v>374</v>
      </c>
      <c r="F234" s="2" t="n">
        <v>1</v>
      </c>
      <c r="G234" s="2" t="s">
        <v>1088</v>
      </c>
    </row>
    <row r="235" customFormat="false" ht="15" hidden="false" customHeight="false" outlineLevel="0" collapsed="false">
      <c r="A235" s="2" t="s">
        <v>1287</v>
      </c>
      <c r="B235" s="2" t="s">
        <v>903</v>
      </c>
      <c r="C235" s="2" t="s">
        <v>982</v>
      </c>
      <c r="D235" s="2" t="s">
        <v>983</v>
      </c>
      <c r="E235" s="2" t="s">
        <v>347</v>
      </c>
      <c r="F235" s="2" t="n">
        <v>1</v>
      </c>
      <c r="G235" s="2" t="s">
        <v>984</v>
      </c>
    </row>
    <row r="236" customFormat="false" ht="15" hidden="false" customHeight="false" outlineLevel="0" collapsed="false">
      <c r="A236" s="2" t="s">
        <v>1288</v>
      </c>
      <c r="B236" s="2" t="s">
        <v>903</v>
      </c>
      <c r="C236" s="2" t="s">
        <v>982</v>
      </c>
      <c r="D236" s="2" t="s">
        <v>986</v>
      </c>
      <c r="E236" s="2" t="s">
        <v>386</v>
      </c>
      <c r="F236" s="2" t="n">
        <v>1</v>
      </c>
      <c r="G236" s="2" t="s">
        <v>987</v>
      </c>
    </row>
    <row r="237" customFormat="false" ht="15" hidden="false" customHeight="false" outlineLevel="0" collapsed="false">
      <c r="A237" s="2" t="s">
        <v>1289</v>
      </c>
      <c r="B237" s="2" t="s">
        <v>903</v>
      </c>
      <c r="C237" s="2" t="s">
        <v>982</v>
      </c>
      <c r="D237" s="2" t="s">
        <v>989</v>
      </c>
      <c r="E237" s="2" t="s">
        <v>256</v>
      </c>
      <c r="F237" s="2" t="n">
        <v>1</v>
      </c>
      <c r="G237" s="2" t="s">
        <v>990</v>
      </c>
    </row>
    <row r="238" customFormat="false" ht="15" hidden="false" customHeight="false" outlineLevel="0" collapsed="false">
      <c r="A238" s="2" t="s">
        <v>1290</v>
      </c>
      <c r="B238" s="2" t="s">
        <v>903</v>
      </c>
      <c r="C238" s="2" t="s">
        <v>982</v>
      </c>
      <c r="D238" s="2" t="s">
        <v>992</v>
      </c>
      <c r="E238" s="2" t="s">
        <v>496</v>
      </c>
      <c r="F238" s="2" t="n">
        <v>1</v>
      </c>
      <c r="G238" s="2" t="s">
        <v>993</v>
      </c>
    </row>
    <row r="239" customFormat="false" ht="15" hidden="false" customHeight="false" outlineLevel="0" collapsed="false">
      <c r="A239" s="2" t="s">
        <v>1291</v>
      </c>
      <c r="B239" s="2" t="s">
        <v>903</v>
      </c>
      <c r="C239" s="2" t="s">
        <v>996</v>
      </c>
      <c r="D239" s="2" t="s">
        <v>983</v>
      </c>
      <c r="E239" s="2" t="s">
        <v>317</v>
      </c>
      <c r="F239" s="2" t="n">
        <v>1</v>
      </c>
      <c r="G239" s="2" t="s">
        <v>997</v>
      </c>
    </row>
    <row r="240" customFormat="false" ht="15" hidden="false" customHeight="false" outlineLevel="0" collapsed="false">
      <c r="A240" s="2" t="s">
        <v>1292</v>
      </c>
      <c r="B240" s="2" t="s">
        <v>903</v>
      </c>
      <c r="C240" s="2" t="s">
        <v>996</v>
      </c>
      <c r="D240" s="2" t="s">
        <v>986</v>
      </c>
      <c r="E240" s="2" t="s">
        <v>268</v>
      </c>
      <c r="F240" s="2" t="n">
        <v>1</v>
      </c>
      <c r="G240" s="2" t="s">
        <v>999</v>
      </c>
    </row>
    <row r="241" customFormat="false" ht="15" hidden="false" customHeight="false" outlineLevel="0" collapsed="false">
      <c r="A241" s="2" t="s">
        <v>1293</v>
      </c>
      <c r="B241" s="2" t="s">
        <v>903</v>
      </c>
      <c r="C241" s="2" t="s">
        <v>996</v>
      </c>
      <c r="D241" s="2" t="s">
        <v>989</v>
      </c>
      <c r="E241" s="2" t="s">
        <v>304</v>
      </c>
      <c r="F241" s="2" t="n">
        <v>1</v>
      </c>
      <c r="G241" s="2" t="s">
        <v>1001</v>
      </c>
    </row>
    <row r="242" customFormat="false" ht="15" hidden="false" customHeight="false" outlineLevel="0" collapsed="false">
      <c r="A242" s="2" t="s">
        <v>1294</v>
      </c>
      <c r="B242" s="2" t="s">
        <v>903</v>
      </c>
      <c r="C242" s="2" t="s">
        <v>1003</v>
      </c>
      <c r="D242" s="2" t="s">
        <v>983</v>
      </c>
      <c r="E242" s="2" t="s">
        <v>256</v>
      </c>
      <c r="F242" s="2" t="n">
        <v>1</v>
      </c>
      <c r="G242" s="2" t="s">
        <v>1004</v>
      </c>
    </row>
    <row r="243" customFormat="false" ht="15" hidden="false" customHeight="false" outlineLevel="0" collapsed="false">
      <c r="A243" s="2" t="s">
        <v>1295</v>
      </c>
      <c r="B243" s="2" t="s">
        <v>903</v>
      </c>
      <c r="C243" s="2" t="s">
        <v>1003</v>
      </c>
      <c r="D243" s="2" t="s">
        <v>986</v>
      </c>
      <c r="E243" s="2" t="s">
        <v>412</v>
      </c>
      <c r="F243" s="2" t="n">
        <v>1</v>
      </c>
      <c r="G243" s="2" t="s">
        <v>1006</v>
      </c>
    </row>
    <row r="244" customFormat="false" ht="15" hidden="false" customHeight="false" outlineLevel="0" collapsed="false">
      <c r="A244" s="2" t="s">
        <v>1296</v>
      </c>
      <c r="B244" s="2" t="s">
        <v>903</v>
      </c>
      <c r="C244" s="2" t="s">
        <v>1003</v>
      </c>
      <c r="D244" s="2" t="s">
        <v>989</v>
      </c>
      <c r="E244" s="2" t="s">
        <v>239</v>
      </c>
      <c r="F244" s="2" t="n">
        <v>1</v>
      </c>
      <c r="G244" s="2" t="s">
        <v>1008</v>
      </c>
    </row>
    <row r="245" customFormat="false" ht="15" hidden="false" customHeight="false" outlineLevel="0" collapsed="false">
      <c r="A245" s="2" t="s">
        <v>1297</v>
      </c>
      <c r="B245" s="2" t="s">
        <v>903</v>
      </c>
      <c r="C245" s="2" t="s">
        <v>1003</v>
      </c>
      <c r="D245" s="2" t="s">
        <v>992</v>
      </c>
      <c r="E245" s="2" t="s">
        <v>459</v>
      </c>
      <c r="F245" s="2" t="n">
        <v>1</v>
      </c>
      <c r="G245" s="2" t="s">
        <v>1103</v>
      </c>
    </row>
    <row r="246" customFormat="false" ht="15" hidden="false" customHeight="false" outlineLevel="0" collapsed="false">
      <c r="A246" s="2" t="s">
        <v>1298</v>
      </c>
      <c r="B246" s="2" t="s">
        <v>903</v>
      </c>
      <c r="C246" s="2" t="s">
        <v>1003</v>
      </c>
      <c r="D246" s="2" t="s">
        <v>992</v>
      </c>
      <c r="E246" s="2" t="s">
        <v>477</v>
      </c>
      <c r="F246" s="2" t="n">
        <v>1</v>
      </c>
      <c r="G246" s="2" t="s">
        <v>1103</v>
      </c>
    </row>
    <row r="247" customFormat="false" ht="15" hidden="false" customHeight="false" outlineLevel="0" collapsed="false">
      <c r="A247" s="2" t="s">
        <v>1299</v>
      </c>
      <c r="B247" s="2" t="s">
        <v>903</v>
      </c>
      <c r="C247" s="2" t="s">
        <v>1010</v>
      </c>
      <c r="D247" s="2" t="s">
        <v>983</v>
      </c>
      <c r="E247" s="2" t="s">
        <v>211</v>
      </c>
      <c r="F247" s="2" t="n">
        <v>1</v>
      </c>
      <c r="G247" s="2" t="s">
        <v>1011</v>
      </c>
    </row>
    <row r="248" customFormat="false" ht="15" hidden="false" customHeight="false" outlineLevel="0" collapsed="false">
      <c r="A248" s="2" t="s">
        <v>1300</v>
      </c>
      <c r="B248" s="2" t="s">
        <v>903</v>
      </c>
      <c r="C248" s="2" t="s">
        <v>1010</v>
      </c>
      <c r="D248" s="2" t="s">
        <v>989</v>
      </c>
      <c r="E248" s="2" t="s">
        <v>341</v>
      </c>
      <c r="F248" s="2" t="n">
        <v>1</v>
      </c>
      <c r="G248" s="2" t="s">
        <v>1015</v>
      </c>
    </row>
    <row r="249" customFormat="false" ht="15" hidden="false" customHeight="false" outlineLevel="0" collapsed="false">
      <c r="A249" s="2" t="s">
        <v>1301</v>
      </c>
      <c r="B249" s="2" t="s">
        <v>903</v>
      </c>
      <c r="C249" s="2" t="s">
        <v>1010</v>
      </c>
      <c r="D249" s="2" t="s">
        <v>992</v>
      </c>
      <c r="E249" s="2" t="s">
        <v>466</v>
      </c>
      <c r="F249" s="2" t="n">
        <v>1</v>
      </c>
      <c r="G249" s="2" t="s">
        <v>1017</v>
      </c>
    </row>
    <row r="250" customFormat="false" ht="15" hidden="false" customHeight="false" outlineLevel="0" collapsed="false">
      <c r="A250" s="2" t="s">
        <v>1302</v>
      </c>
      <c r="B250" s="2" t="s">
        <v>903</v>
      </c>
      <c r="C250" s="2" t="s">
        <v>1010</v>
      </c>
      <c r="D250" s="2" t="s">
        <v>992</v>
      </c>
      <c r="E250" s="2" t="s">
        <v>466</v>
      </c>
      <c r="F250" s="2" t="n">
        <v>1</v>
      </c>
      <c r="G250" s="2" t="s">
        <v>1017</v>
      </c>
    </row>
    <row r="251" customFormat="false" ht="15" hidden="false" customHeight="false" outlineLevel="0" collapsed="false">
      <c r="A251" s="2" t="s">
        <v>1303</v>
      </c>
      <c r="B251" s="2" t="s">
        <v>903</v>
      </c>
      <c r="C251" s="2" t="s">
        <v>1019</v>
      </c>
      <c r="D251" s="2" t="s">
        <v>986</v>
      </c>
      <c r="E251" s="2" t="s">
        <v>329</v>
      </c>
      <c r="F251" s="2" t="n">
        <v>1</v>
      </c>
      <c r="G251" s="2" t="s">
        <v>1020</v>
      </c>
    </row>
    <row r="252" customFormat="false" ht="15" hidden="false" customHeight="false" outlineLevel="0" collapsed="false">
      <c r="A252" s="2" t="s">
        <v>1304</v>
      </c>
      <c r="B252" s="2" t="s">
        <v>903</v>
      </c>
      <c r="C252" s="2" t="s">
        <v>1019</v>
      </c>
      <c r="D252" s="2" t="s">
        <v>989</v>
      </c>
      <c r="E252" s="2" t="s">
        <v>304</v>
      </c>
      <c r="F252" s="2" t="n">
        <v>1</v>
      </c>
      <c r="G252" s="2" t="s">
        <v>1022</v>
      </c>
    </row>
    <row r="253" customFormat="false" ht="15" hidden="false" customHeight="false" outlineLevel="0" collapsed="false">
      <c r="A253" s="2" t="s">
        <v>1305</v>
      </c>
      <c r="B253" s="2" t="s">
        <v>903</v>
      </c>
      <c r="C253" s="2" t="s">
        <v>1033</v>
      </c>
      <c r="D253" s="2" t="s">
        <v>986</v>
      </c>
      <c r="E253" s="2" t="s">
        <v>211</v>
      </c>
      <c r="F253" s="2" t="n">
        <v>1</v>
      </c>
      <c r="G253" s="2" t="s">
        <v>1036</v>
      </c>
    </row>
    <row r="254" customFormat="false" ht="15" hidden="false" customHeight="false" outlineLevel="0" collapsed="false">
      <c r="A254" s="2" t="s">
        <v>1306</v>
      </c>
      <c r="B254" s="2" t="s">
        <v>903</v>
      </c>
      <c r="C254" s="2" t="s">
        <v>1033</v>
      </c>
      <c r="D254" s="2" t="s">
        <v>989</v>
      </c>
      <c r="E254" s="2" t="s">
        <v>386</v>
      </c>
      <c r="F254" s="2" t="n">
        <v>1</v>
      </c>
      <c r="G254" s="2" t="s">
        <v>1038</v>
      </c>
    </row>
    <row r="255" customFormat="false" ht="15" hidden="false" customHeight="false" outlineLevel="0" collapsed="false">
      <c r="A255" s="2" t="s">
        <v>1307</v>
      </c>
      <c r="B255" s="2" t="s">
        <v>903</v>
      </c>
      <c r="C255" s="2" t="s">
        <v>1043</v>
      </c>
      <c r="D255" s="2" t="s">
        <v>983</v>
      </c>
      <c r="E255" s="2" t="s">
        <v>227</v>
      </c>
      <c r="F255" s="2" t="n">
        <v>1</v>
      </c>
      <c r="G255" s="2" t="s">
        <v>1044</v>
      </c>
    </row>
    <row r="256" customFormat="false" ht="15" hidden="false" customHeight="false" outlineLevel="0" collapsed="false">
      <c r="A256" s="2" t="s">
        <v>1308</v>
      </c>
      <c r="B256" s="2" t="s">
        <v>903</v>
      </c>
      <c r="C256" s="2" t="s">
        <v>1043</v>
      </c>
      <c r="D256" s="2" t="s">
        <v>986</v>
      </c>
      <c r="E256" s="2" t="s">
        <v>304</v>
      </c>
      <c r="F256" s="2" t="n">
        <v>1</v>
      </c>
      <c r="G256" s="2" t="s">
        <v>1046</v>
      </c>
    </row>
    <row r="257" customFormat="false" ht="15" hidden="false" customHeight="false" outlineLevel="0" collapsed="false">
      <c r="A257" s="2" t="s">
        <v>1309</v>
      </c>
      <c r="B257" s="2" t="s">
        <v>903</v>
      </c>
      <c r="C257" s="2" t="s">
        <v>1043</v>
      </c>
      <c r="D257" s="2" t="s">
        <v>989</v>
      </c>
      <c r="E257" s="2" t="s">
        <v>286</v>
      </c>
      <c r="F257" s="2" t="n">
        <v>1</v>
      </c>
      <c r="G257" s="2" t="s">
        <v>1048</v>
      </c>
    </row>
    <row r="258" customFormat="false" ht="15" hidden="false" customHeight="false" outlineLevel="0" collapsed="false">
      <c r="A258" s="2" t="s">
        <v>1310</v>
      </c>
      <c r="B258" s="2" t="s">
        <v>903</v>
      </c>
      <c r="C258" s="2" t="s">
        <v>1043</v>
      </c>
      <c r="D258" s="2" t="s">
        <v>992</v>
      </c>
      <c r="E258" s="2" t="s">
        <v>477</v>
      </c>
      <c r="F258" s="2" t="n">
        <v>1</v>
      </c>
      <c r="G258" s="2" t="s">
        <v>1050</v>
      </c>
    </row>
    <row r="259" customFormat="false" ht="15" hidden="false" customHeight="false" outlineLevel="0" collapsed="false">
      <c r="A259" s="2" t="s">
        <v>1311</v>
      </c>
      <c r="B259" s="2" t="s">
        <v>903</v>
      </c>
      <c r="C259" s="2" t="s">
        <v>1043</v>
      </c>
      <c r="D259" s="2" t="s">
        <v>992</v>
      </c>
      <c r="E259" s="2" t="s">
        <v>472</v>
      </c>
      <c r="F259" s="2" t="n">
        <v>1</v>
      </c>
      <c r="G259" s="2" t="s">
        <v>1050</v>
      </c>
    </row>
    <row r="260" customFormat="false" ht="15" hidden="false" customHeight="false" outlineLevel="0" collapsed="false">
      <c r="A260" s="2" t="s">
        <v>1312</v>
      </c>
      <c r="B260" s="2" t="s">
        <v>903</v>
      </c>
      <c r="C260" s="2" t="s">
        <v>1052</v>
      </c>
      <c r="D260" s="2" t="s">
        <v>983</v>
      </c>
      <c r="E260" s="2" t="s">
        <v>304</v>
      </c>
      <c r="F260" s="2" t="n">
        <v>1</v>
      </c>
      <c r="G260" s="2" t="s">
        <v>1053</v>
      </c>
    </row>
    <row r="261" customFormat="false" ht="15" hidden="false" customHeight="false" outlineLevel="0" collapsed="false">
      <c r="A261" s="2" t="s">
        <v>1313</v>
      </c>
      <c r="B261" s="2" t="s">
        <v>903</v>
      </c>
      <c r="C261" s="2" t="s">
        <v>1052</v>
      </c>
      <c r="D261" s="2" t="s">
        <v>986</v>
      </c>
      <c r="E261" s="2" t="s">
        <v>304</v>
      </c>
      <c r="F261" s="2" t="n">
        <v>1</v>
      </c>
      <c r="G261" s="2" t="s">
        <v>1055</v>
      </c>
    </row>
    <row r="262" customFormat="false" ht="15" hidden="false" customHeight="false" outlineLevel="0" collapsed="false">
      <c r="A262" s="2" t="s">
        <v>1314</v>
      </c>
      <c r="B262" s="2" t="s">
        <v>903</v>
      </c>
      <c r="C262" s="2" t="s">
        <v>1052</v>
      </c>
      <c r="D262" s="2" t="s">
        <v>989</v>
      </c>
      <c r="E262" s="2" t="s">
        <v>280</v>
      </c>
      <c r="F262" s="2" t="n">
        <v>1</v>
      </c>
      <c r="G262" s="2" t="s">
        <v>1057</v>
      </c>
    </row>
    <row r="263" customFormat="false" ht="15" hidden="false" customHeight="false" outlineLevel="0" collapsed="false">
      <c r="A263" s="2" t="s">
        <v>1315</v>
      </c>
      <c r="B263" s="2" t="s">
        <v>903</v>
      </c>
      <c r="C263" s="2" t="s">
        <v>1052</v>
      </c>
      <c r="D263" s="2" t="s">
        <v>992</v>
      </c>
      <c r="E263" s="2" t="s">
        <v>477</v>
      </c>
      <c r="F263" s="2" t="n">
        <v>1</v>
      </c>
      <c r="G263" s="2" t="s">
        <v>1059</v>
      </c>
    </row>
    <row r="264" customFormat="false" ht="15" hidden="false" customHeight="false" outlineLevel="0" collapsed="false">
      <c r="A264" s="2" t="s">
        <v>1316</v>
      </c>
      <c r="B264" s="2" t="s">
        <v>903</v>
      </c>
      <c r="C264" s="2" t="s">
        <v>1128</v>
      </c>
      <c r="D264" s="2" t="s">
        <v>983</v>
      </c>
      <c r="E264" s="2" t="s">
        <v>329</v>
      </c>
      <c r="F264" s="2" t="n">
        <v>1</v>
      </c>
      <c r="G264" s="2" t="s">
        <v>1129</v>
      </c>
    </row>
    <row r="265" customFormat="false" ht="15" hidden="false" customHeight="false" outlineLevel="0" collapsed="false">
      <c r="A265" s="2" t="s">
        <v>1317</v>
      </c>
      <c r="B265" s="2" t="s">
        <v>903</v>
      </c>
      <c r="C265" s="2" t="s">
        <v>1128</v>
      </c>
      <c r="D265" s="2" t="s">
        <v>986</v>
      </c>
      <c r="E265" s="2" t="s">
        <v>363</v>
      </c>
      <c r="F265" s="2" t="n">
        <v>1</v>
      </c>
      <c r="G265" s="2" t="s">
        <v>1131</v>
      </c>
    </row>
    <row r="266" customFormat="false" ht="15" hidden="false" customHeight="false" outlineLevel="0" collapsed="false">
      <c r="A266" s="2" t="s">
        <v>1318</v>
      </c>
      <c r="B266" s="2" t="s">
        <v>903</v>
      </c>
      <c r="C266" s="2" t="s">
        <v>1128</v>
      </c>
      <c r="D266" s="2" t="s">
        <v>989</v>
      </c>
      <c r="E266" s="2" t="s">
        <v>347</v>
      </c>
      <c r="F266" s="2" t="n">
        <v>1</v>
      </c>
      <c r="G266" s="2" t="s">
        <v>1133</v>
      </c>
    </row>
    <row r="267" customFormat="false" ht="15" hidden="false" customHeight="false" outlineLevel="0" collapsed="false">
      <c r="A267" s="2" t="s">
        <v>1319</v>
      </c>
      <c r="B267" s="2" t="s">
        <v>903</v>
      </c>
      <c r="C267" s="2" t="s">
        <v>1071</v>
      </c>
      <c r="D267" s="2" t="s">
        <v>983</v>
      </c>
      <c r="E267" s="2" t="s">
        <v>233</v>
      </c>
      <c r="F267" s="2" t="n">
        <v>1</v>
      </c>
      <c r="G267" s="2" t="s">
        <v>1138</v>
      </c>
    </row>
    <row r="268" customFormat="false" ht="15" hidden="false" customHeight="false" outlineLevel="0" collapsed="false">
      <c r="A268" s="2" t="s">
        <v>1320</v>
      </c>
      <c r="B268" s="2" t="s">
        <v>903</v>
      </c>
      <c r="C268" s="2" t="s">
        <v>1071</v>
      </c>
      <c r="D268" s="2" t="s">
        <v>986</v>
      </c>
      <c r="E268" s="2" t="s">
        <v>292</v>
      </c>
      <c r="F268" s="2" t="n">
        <v>1</v>
      </c>
      <c r="G268" s="2" t="s">
        <v>1072</v>
      </c>
    </row>
    <row r="269" customFormat="false" ht="15" hidden="false" customHeight="false" outlineLevel="0" collapsed="false">
      <c r="A269" s="2" t="s">
        <v>1321</v>
      </c>
      <c r="B269" s="2" t="s">
        <v>903</v>
      </c>
      <c r="C269" s="2" t="s">
        <v>1071</v>
      </c>
      <c r="D269" s="2" t="s">
        <v>989</v>
      </c>
      <c r="E269" s="2" t="s">
        <v>250</v>
      </c>
      <c r="F269" s="2" t="n">
        <v>1</v>
      </c>
      <c r="G269" s="2" t="s">
        <v>1074</v>
      </c>
    </row>
    <row r="270" customFormat="false" ht="15" hidden="false" customHeight="false" outlineLevel="0" collapsed="false">
      <c r="A270" s="2" t="s">
        <v>1322</v>
      </c>
      <c r="B270" s="2" t="s">
        <v>903</v>
      </c>
      <c r="C270" s="2" t="s">
        <v>220</v>
      </c>
      <c r="D270" s="2" t="s">
        <v>989</v>
      </c>
      <c r="E270" s="2" t="s">
        <v>262</v>
      </c>
      <c r="F270" s="2" t="n">
        <v>1</v>
      </c>
      <c r="G270" s="2" t="s">
        <v>1080</v>
      </c>
    </row>
    <row r="271" customFormat="false" ht="15" hidden="false" customHeight="false" outlineLevel="0" collapsed="false">
      <c r="A271" s="2" t="s">
        <v>1323</v>
      </c>
      <c r="B271" s="2" t="s">
        <v>903</v>
      </c>
      <c r="C271" s="2" t="s">
        <v>220</v>
      </c>
      <c r="D271" s="2" t="s">
        <v>992</v>
      </c>
      <c r="E271" s="2" t="s">
        <v>472</v>
      </c>
      <c r="F271" s="2" t="n">
        <v>1</v>
      </c>
      <c r="G271" s="2" t="s">
        <v>1082</v>
      </c>
    </row>
    <row r="272" customFormat="false" ht="15" hidden="false" customHeight="false" outlineLevel="0" collapsed="false">
      <c r="A272" s="2" t="s">
        <v>1324</v>
      </c>
      <c r="B272" s="2" t="s">
        <v>906</v>
      </c>
      <c r="C272" s="2" t="s">
        <v>1085</v>
      </c>
      <c r="D272" s="2" t="s">
        <v>983</v>
      </c>
      <c r="E272" s="2" t="s">
        <v>245</v>
      </c>
      <c r="F272" s="2" t="n">
        <v>1</v>
      </c>
      <c r="G272" s="2" t="s">
        <v>1086</v>
      </c>
    </row>
    <row r="273" customFormat="false" ht="15" hidden="false" customHeight="false" outlineLevel="0" collapsed="false">
      <c r="A273" s="2" t="s">
        <v>1325</v>
      </c>
      <c r="B273" s="2" t="s">
        <v>906</v>
      </c>
      <c r="C273" s="2" t="s">
        <v>1085</v>
      </c>
      <c r="D273" s="2" t="s">
        <v>986</v>
      </c>
      <c r="E273" s="2" t="s">
        <v>352</v>
      </c>
      <c r="F273" s="2" t="n">
        <v>1</v>
      </c>
      <c r="G273" s="2" t="s">
        <v>1088</v>
      </c>
    </row>
    <row r="274" customFormat="false" ht="15" hidden="false" customHeight="false" outlineLevel="0" collapsed="false">
      <c r="A274" s="2" t="s">
        <v>1326</v>
      </c>
      <c r="B274" s="2" t="s">
        <v>906</v>
      </c>
      <c r="C274" s="2" t="s">
        <v>1085</v>
      </c>
      <c r="D274" s="2" t="s">
        <v>989</v>
      </c>
      <c r="E274" s="2" t="s">
        <v>268</v>
      </c>
      <c r="F274" s="2" t="n">
        <v>1</v>
      </c>
      <c r="G274" s="2" t="s">
        <v>1090</v>
      </c>
    </row>
    <row r="275" customFormat="false" ht="15" hidden="false" customHeight="false" outlineLevel="0" collapsed="false">
      <c r="A275" s="2" t="s">
        <v>1327</v>
      </c>
      <c r="B275" s="2" t="s">
        <v>906</v>
      </c>
      <c r="C275" s="2" t="s">
        <v>1085</v>
      </c>
      <c r="D275" s="2" t="s">
        <v>992</v>
      </c>
      <c r="E275" s="2" t="s">
        <v>490</v>
      </c>
      <c r="F275" s="2" t="n">
        <v>1</v>
      </c>
      <c r="G275" s="2" t="s">
        <v>1092</v>
      </c>
    </row>
    <row r="276" customFormat="false" ht="15" hidden="false" customHeight="false" outlineLevel="0" collapsed="false">
      <c r="A276" s="2" t="s">
        <v>1328</v>
      </c>
      <c r="B276" s="2" t="s">
        <v>906</v>
      </c>
      <c r="C276" s="2" t="s">
        <v>982</v>
      </c>
      <c r="D276" s="2" t="s">
        <v>986</v>
      </c>
      <c r="E276" s="2" t="s">
        <v>286</v>
      </c>
      <c r="F276" s="2" t="n">
        <v>1</v>
      </c>
      <c r="G276" s="2" t="s">
        <v>987</v>
      </c>
    </row>
    <row r="277" customFormat="false" ht="15" hidden="false" customHeight="false" outlineLevel="0" collapsed="false">
      <c r="A277" s="2" t="s">
        <v>1329</v>
      </c>
      <c r="B277" s="2" t="s">
        <v>906</v>
      </c>
      <c r="C277" s="2" t="s">
        <v>982</v>
      </c>
      <c r="D277" s="2" t="s">
        <v>989</v>
      </c>
      <c r="E277" s="2" t="s">
        <v>386</v>
      </c>
      <c r="F277" s="2" t="n">
        <v>1</v>
      </c>
      <c r="G277" s="2" t="s">
        <v>990</v>
      </c>
    </row>
    <row r="278" customFormat="false" ht="15" hidden="false" customHeight="false" outlineLevel="0" collapsed="false">
      <c r="A278" s="2" t="s">
        <v>1330</v>
      </c>
      <c r="B278" s="2" t="s">
        <v>906</v>
      </c>
      <c r="C278" s="2" t="s">
        <v>982</v>
      </c>
      <c r="D278" s="2" t="s">
        <v>992</v>
      </c>
      <c r="E278" s="2" t="s">
        <v>490</v>
      </c>
      <c r="F278" s="2" t="n">
        <v>1</v>
      </c>
      <c r="G278" s="2" t="s">
        <v>993</v>
      </c>
    </row>
    <row r="279" customFormat="false" ht="15" hidden="false" customHeight="false" outlineLevel="0" collapsed="false">
      <c r="A279" s="2" t="s">
        <v>1331</v>
      </c>
      <c r="B279" s="2" t="s">
        <v>906</v>
      </c>
      <c r="C279" s="2" t="s">
        <v>996</v>
      </c>
      <c r="D279" s="2" t="s">
        <v>983</v>
      </c>
      <c r="E279" s="2" t="s">
        <v>298</v>
      </c>
      <c r="F279" s="2" t="n">
        <v>1</v>
      </c>
      <c r="G279" s="2" t="s">
        <v>997</v>
      </c>
    </row>
    <row r="280" customFormat="false" ht="15" hidden="false" customHeight="false" outlineLevel="0" collapsed="false">
      <c r="A280" s="2" t="s">
        <v>1332</v>
      </c>
      <c r="B280" s="2" t="s">
        <v>906</v>
      </c>
      <c r="C280" s="2" t="s">
        <v>996</v>
      </c>
      <c r="D280" s="2" t="s">
        <v>986</v>
      </c>
      <c r="E280" s="2" t="s">
        <v>329</v>
      </c>
      <c r="F280" s="2" t="n">
        <v>1</v>
      </c>
      <c r="G280" s="2" t="s">
        <v>999</v>
      </c>
    </row>
    <row r="281" customFormat="false" ht="15" hidden="false" customHeight="false" outlineLevel="0" collapsed="false">
      <c r="A281" s="2" t="s">
        <v>1333</v>
      </c>
      <c r="B281" s="2" t="s">
        <v>906</v>
      </c>
      <c r="C281" s="2" t="s">
        <v>996</v>
      </c>
      <c r="D281" s="2" t="s">
        <v>989</v>
      </c>
      <c r="E281" s="2" t="s">
        <v>323</v>
      </c>
      <c r="F281" s="2" t="n">
        <v>1</v>
      </c>
      <c r="G281" s="2" t="s">
        <v>1001</v>
      </c>
    </row>
    <row r="282" customFormat="false" ht="15" hidden="false" customHeight="false" outlineLevel="0" collapsed="false">
      <c r="A282" s="2" t="s">
        <v>1334</v>
      </c>
      <c r="B282" s="2" t="s">
        <v>906</v>
      </c>
      <c r="C282" s="2" t="s">
        <v>996</v>
      </c>
      <c r="D282" s="2" t="s">
        <v>992</v>
      </c>
      <c r="E282" s="2" t="s">
        <v>477</v>
      </c>
      <c r="F282" s="2" t="n">
        <v>1</v>
      </c>
      <c r="G282" s="2" t="s">
        <v>1156</v>
      </c>
    </row>
    <row r="283" customFormat="false" ht="15" hidden="false" customHeight="false" outlineLevel="0" collapsed="false">
      <c r="A283" s="2" t="s">
        <v>1335</v>
      </c>
      <c r="B283" s="2" t="s">
        <v>906</v>
      </c>
      <c r="C283" s="2" t="s">
        <v>996</v>
      </c>
      <c r="D283" s="2" t="s">
        <v>992</v>
      </c>
      <c r="E283" s="2" t="s">
        <v>459</v>
      </c>
      <c r="F283" s="2" t="n">
        <v>1</v>
      </c>
      <c r="G283" s="2" t="s">
        <v>1156</v>
      </c>
    </row>
    <row r="284" customFormat="false" ht="15" hidden="false" customHeight="false" outlineLevel="0" collapsed="false">
      <c r="A284" s="2" t="s">
        <v>1336</v>
      </c>
      <c r="B284" s="2" t="s">
        <v>906</v>
      </c>
      <c r="C284" s="2" t="s">
        <v>1003</v>
      </c>
      <c r="D284" s="2" t="s">
        <v>983</v>
      </c>
      <c r="E284" s="2" t="s">
        <v>484</v>
      </c>
      <c r="F284" s="2" t="n">
        <v>1</v>
      </c>
      <c r="G284" s="2" t="s">
        <v>1004</v>
      </c>
    </row>
    <row r="285" customFormat="false" ht="15" hidden="false" customHeight="false" outlineLevel="0" collapsed="false">
      <c r="A285" s="2" t="s">
        <v>1337</v>
      </c>
      <c r="B285" s="2" t="s">
        <v>906</v>
      </c>
      <c r="C285" s="2" t="s">
        <v>1003</v>
      </c>
      <c r="D285" s="2" t="s">
        <v>986</v>
      </c>
      <c r="E285" s="2" t="s">
        <v>280</v>
      </c>
      <c r="F285" s="2" t="n">
        <v>1</v>
      </c>
      <c r="G285" s="2" t="s">
        <v>1006</v>
      </c>
    </row>
    <row r="286" customFormat="false" ht="15" hidden="false" customHeight="false" outlineLevel="0" collapsed="false">
      <c r="A286" s="2" t="s">
        <v>1338</v>
      </c>
      <c r="B286" s="2" t="s">
        <v>906</v>
      </c>
      <c r="C286" s="2" t="s">
        <v>1003</v>
      </c>
      <c r="D286" s="2" t="s">
        <v>989</v>
      </c>
      <c r="E286" s="2" t="s">
        <v>352</v>
      </c>
      <c r="F286" s="2" t="n">
        <v>1</v>
      </c>
      <c r="G286" s="2" t="s">
        <v>1008</v>
      </c>
    </row>
    <row r="287" customFormat="false" ht="15" hidden="false" customHeight="false" outlineLevel="0" collapsed="false">
      <c r="A287" s="2" t="s">
        <v>1339</v>
      </c>
      <c r="B287" s="2" t="s">
        <v>906</v>
      </c>
      <c r="C287" s="2" t="s">
        <v>1003</v>
      </c>
      <c r="D287" s="2" t="s">
        <v>992</v>
      </c>
      <c r="E287" s="2" t="s">
        <v>335</v>
      </c>
      <c r="F287" s="2" t="n">
        <v>1</v>
      </c>
      <c r="G287" s="2" t="s">
        <v>1103</v>
      </c>
    </row>
    <row r="288" customFormat="false" ht="15" hidden="false" customHeight="false" outlineLevel="0" collapsed="false">
      <c r="A288" s="2" t="s">
        <v>1340</v>
      </c>
      <c r="B288" s="2" t="s">
        <v>906</v>
      </c>
      <c r="C288" s="2" t="s">
        <v>1003</v>
      </c>
      <c r="D288" s="2" t="s">
        <v>992</v>
      </c>
      <c r="E288" s="2" t="s">
        <v>484</v>
      </c>
      <c r="F288" s="2" t="n">
        <v>1</v>
      </c>
      <c r="G288" s="2" t="s">
        <v>1103</v>
      </c>
    </row>
    <row r="289" customFormat="false" ht="15" hidden="false" customHeight="false" outlineLevel="0" collapsed="false">
      <c r="A289" s="2" t="s">
        <v>1341</v>
      </c>
      <c r="B289" s="2" t="s">
        <v>906</v>
      </c>
      <c r="C289" s="2" t="s">
        <v>1010</v>
      </c>
      <c r="D289" s="2" t="s">
        <v>983</v>
      </c>
      <c r="E289" s="2" t="s">
        <v>221</v>
      </c>
      <c r="F289" s="2" t="n">
        <v>1</v>
      </c>
      <c r="G289" s="2" t="s">
        <v>1011</v>
      </c>
    </row>
    <row r="290" customFormat="false" ht="15" hidden="false" customHeight="false" outlineLevel="0" collapsed="false">
      <c r="A290" s="2" t="s">
        <v>1342</v>
      </c>
      <c r="B290" s="2" t="s">
        <v>906</v>
      </c>
      <c r="C290" s="2" t="s">
        <v>1010</v>
      </c>
      <c r="D290" s="2" t="s">
        <v>989</v>
      </c>
      <c r="E290" s="2" t="s">
        <v>329</v>
      </c>
      <c r="F290" s="2" t="n">
        <v>1</v>
      </c>
      <c r="G290" s="2" t="s">
        <v>1015</v>
      </c>
    </row>
    <row r="291" customFormat="false" ht="15" hidden="false" customHeight="false" outlineLevel="0" collapsed="false">
      <c r="A291" s="2" t="s">
        <v>1343</v>
      </c>
      <c r="B291" s="2" t="s">
        <v>906</v>
      </c>
      <c r="C291" s="2" t="s">
        <v>1019</v>
      </c>
      <c r="D291" s="2" t="s">
        <v>983</v>
      </c>
      <c r="E291" s="2" t="s">
        <v>484</v>
      </c>
      <c r="F291" s="2" t="n">
        <v>1</v>
      </c>
      <c r="G291" s="2" t="s">
        <v>1107</v>
      </c>
    </row>
    <row r="292" customFormat="false" ht="15" hidden="false" customHeight="false" outlineLevel="0" collapsed="false">
      <c r="A292" s="2" t="s">
        <v>1344</v>
      </c>
      <c r="B292" s="2" t="s">
        <v>906</v>
      </c>
      <c r="C292" s="2" t="s">
        <v>1019</v>
      </c>
      <c r="D292" s="2" t="s">
        <v>986</v>
      </c>
      <c r="E292" s="2" t="s">
        <v>311</v>
      </c>
      <c r="F292" s="2" t="n">
        <v>1</v>
      </c>
      <c r="G292" s="2" t="s">
        <v>1020</v>
      </c>
    </row>
    <row r="293" customFormat="false" ht="15" hidden="false" customHeight="false" outlineLevel="0" collapsed="false">
      <c r="A293" s="2" t="s">
        <v>1345</v>
      </c>
      <c r="B293" s="2" t="s">
        <v>906</v>
      </c>
      <c r="C293" s="2" t="s">
        <v>1019</v>
      </c>
      <c r="D293" s="2" t="s">
        <v>989</v>
      </c>
      <c r="E293" s="2" t="s">
        <v>386</v>
      </c>
      <c r="F293" s="2" t="n">
        <v>1</v>
      </c>
      <c r="G293" s="2" t="s">
        <v>1022</v>
      </c>
    </row>
    <row r="294" customFormat="false" ht="15" hidden="false" customHeight="false" outlineLevel="0" collapsed="false">
      <c r="A294" s="2" t="s">
        <v>1346</v>
      </c>
      <c r="B294" s="2" t="s">
        <v>906</v>
      </c>
      <c r="C294" s="2" t="s">
        <v>1026</v>
      </c>
      <c r="D294" s="2" t="s">
        <v>983</v>
      </c>
      <c r="E294" s="2" t="s">
        <v>484</v>
      </c>
      <c r="F294" s="2" t="n">
        <v>1</v>
      </c>
      <c r="G294" s="2" t="s">
        <v>1027</v>
      </c>
    </row>
    <row r="295" customFormat="false" ht="15" hidden="false" customHeight="false" outlineLevel="0" collapsed="false">
      <c r="A295" s="2" t="s">
        <v>1347</v>
      </c>
      <c r="B295" s="2" t="s">
        <v>906</v>
      </c>
      <c r="C295" s="2" t="s">
        <v>1026</v>
      </c>
      <c r="D295" s="2" t="s">
        <v>986</v>
      </c>
      <c r="E295" s="2" t="s">
        <v>311</v>
      </c>
      <c r="F295" s="2" t="n">
        <v>1</v>
      </c>
      <c r="G295" s="2" t="s">
        <v>1029</v>
      </c>
    </row>
    <row r="296" customFormat="false" ht="15" hidden="false" customHeight="false" outlineLevel="0" collapsed="false">
      <c r="A296" s="2" t="s">
        <v>1348</v>
      </c>
      <c r="B296" s="2" t="s">
        <v>906</v>
      </c>
      <c r="C296" s="2" t="s">
        <v>1026</v>
      </c>
      <c r="D296" s="2" t="s">
        <v>989</v>
      </c>
      <c r="E296" s="2" t="s">
        <v>418</v>
      </c>
      <c r="F296" s="2" t="n">
        <v>1</v>
      </c>
      <c r="G296" s="2" t="s">
        <v>1031</v>
      </c>
    </row>
    <row r="297" customFormat="false" ht="15" hidden="false" customHeight="false" outlineLevel="0" collapsed="false">
      <c r="A297" s="2" t="s">
        <v>1349</v>
      </c>
      <c r="B297" s="2" t="s">
        <v>906</v>
      </c>
      <c r="C297" s="2" t="s">
        <v>1033</v>
      </c>
      <c r="D297" s="2" t="s">
        <v>986</v>
      </c>
      <c r="E297" s="2" t="s">
        <v>347</v>
      </c>
      <c r="F297" s="2" t="n">
        <v>1</v>
      </c>
      <c r="G297" s="2" t="s">
        <v>1036</v>
      </c>
    </row>
    <row r="298" customFormat="false" ht="15" hidden="false" customHeight="false" outlineLevel="0" collapsed="false">
      <c r="A298" s="2" t="s">
        <v>1350</v>
      </c>
      <c r="B298" s="2" t="s">
        <v>906</v>
      </c>
      <c r="C298" s="2" t="s">
        <v>1033</v>
      </c>
      <c r="D298" s="2" t="s">
        <v>992</v>
      </c>
      <c r="E298" s="2" t="s">
        <v>496</v>
      </c>
      <c r="F298" s="2" t="n">
        <v>1</v>
      </c>
      <c r="G298" s="2" t="s">
        <v>1040</v>
      </c>
    </row>
    <row r="299" customFormat="false" ht="15" hidden="false" customHeight="false" outlineLevel="0" collapsed="false">
      <c r="A299" s="2" t="s">
        <v>1351</v>
      </c>
      <c r="B299" s="2" t="s">
        <v>906</v>
      </c>
      <c r="C299" s="2" t="s">
        <v>1052</v>
      </c>
      <c r="D299" s="2" t="s">
        <v>983</v>
      </c>
      <c r="E299" s="2" t="s">
        <v>329</v>
      </c>
      <c r="F299" s="2" t="n">
        <v>1</v>
      </c>
      <c r="G299" s="2" t="s">
        <v>1053</v>
      </c>
    </row>
    <row r="300" customFormat="false" ht="15" hidden="false" customHeight="false" outlineLevel="0" collapsed="false">
      <c r="A300" s="2" t="s">
        <v>1352</v>
      </c>
      <c r="B300" s="2" t="s">
        <v>906</v>
      </c>
      <c r="C300" s="2" t="s">
        <v>1052</v>
      </c>
      <c r="D300" s="2" t="s">
        <v>986</v>
      </c>
      <c r="E300" s="2" t="s">
        <v>329</v>
      </c>
      <c r="F300" s="2" t="n">
        <v>1</v>
      </c>
      <c r="G300" s="2" t="s">
        <v>1055</v>
      </c>
    </row>
    <row r="301" customFormat="false" ht="15" hidden="false" customHeight="false" outlineLevel="0" collapsed="false">
      <c r="A301" s="2" t="s">
        <v>1353</v>
      </c>
      <c r="B301" s="2" t="s">
        <v>906</v>
      </c>
      <c r="C301" s="2" t="s">
        <v>1052</v>
      </c>
      <c r="D301" s="2" t="s">
        <v>989</v>
      </c>
      <c r="E301" s="2" t="s">
        <v>245</v>
      </c>
      <c r="F301" s="2" t="n">
        <v>1</v>
      </c>
      <c r="G301" s="2" t="s">
        <v>1057</v>
      </c>
    </row>
    <row r="302" customFormat="false" ht="15" hidden="false" customHeight="false" outlineLevel="0" collapsed="false">
      <c r="A302" s="2" t="s">
        <v>1354</v>
      </c>
      <c r="B302" s="2" t="s">
        <v>906</v>
      </c>
      <c r="C302" s="2" t="s">
        <v>1052</v>
      </c>
      <c r="D302" s="2" t="s">
        <v>992</v>
      </c>
      <c r="E302" s="2" t="s">
        <v>335</v>
      </c>
      <c r="F302" s="2" t="n">
        <v>1</v>
      </c>
      <c r="G302" s="2" t="s">
        <v>1059</v>
      </c>
    </row>
    <row r="303" customFormat="false" ht="15" hidden="false" customHeight="false" outlineLevel="0" collapsed="false">
      <c r="A303" s="2" t="s">
        <v>1355</v>
      </c>
      <c r="B303" s="2" t="s">
        <v>906</v>
      </c>
      <c r="C303" s="2" t="s">
        <v>1052</v>
      </c>
      <c r="D303" s="2" t="s">
        <v>992</v>
      </c>
      <c r="E303" s="2" t="s">
        <v>459</v>
      </c>
      <c r="F303" s="2" t="n">
        <v>1</v>
      </c>
      <c r="G303" s="2" t="s">
        <v>1059</v>
      </c>
    </row>
    <row r="304" customFormat="false" ht="15" hidden="false" customHeight="false" outlineLevel="0" collapsed="false">
      <c r="A304" s="2" t="s">
        <v>1356</v>
      </c>
      <c r="B304" s="2" t="s">
        <v>906</v>
      </c>
      <c r="C304" s="2" t="s">
        <v>1061</v>
      </c>
      <c r="D304" s="2" t="s">
        <v>983</v>
      </c>
      <c r="E304" s="2" t="s">
        <v>268</v>
      </c>
      <c r="F304" s="2" t="n">
        <v>1</v>
      </c>
      <c r="G304" s="2" t="s">
        <v>1062</v>
      </c>
    </row>
    <row r="305" customFormat="false" ht="15" hidden="false" customHeight="false" outlineLevel="0" collapsed="false">
      <c r="A305" s="2" t="s">
        <v>1357</v>
      </c>
      <c r="B305" s="2" t="s">
        <v>906</v>
      </c>
      <c r="C305" s="2" t="s">
        <v>1061</v>
      </c>
      <c r="D305" s="2" t="s">
        <v>986</v>
      </c>
      <c r="E305" s="2" t="s">
        <v>221</v>
      </c>
      <c r="F305" s="2" t="n">
        <v>1</v>
      </c>
      <c r="G305" s="2" t="s">
        <v>1064</v>
      </c>
    </row>
    <row r="306" customFormat="false" ht="15" hidden="false" customHeight="false" outlineLevel="0" collapsed="false">
      <c r="A306" s="2" t="s">
        <v>1358</v>
      </c>
      <c r="B306" s="2" t="s">
        <v>906</v>
      </c>
      <c r="C306" s="2" t="s">
        <v>1061</v>
      </c>
      <c r="D306" s="2" t="s">
        <v>989</v>
      </c>
      <c r="E306" s="2" t="s">
        <v>256</v>
      </c>
      <c r="F306" s="2" t="n">
        <v>1</v>
      </c>
      <c r="G306" s="2" t="s">
        <v>1066</v>
      </c>
    </row>
    <row r="307" customFormat="false" ht="15" hidden="false" customHeight="false" outlineLevel="0" collapsed="false">
      <c r="A307" s="2" t="s">
        <v>1359</v>
      </c>
      <c r="B307" s="2" t="s">
        <v>906</v>
      </c>
      <c r="C307" s="2" t="s">
        <v>1071</v>
      </c>
      <c r="D307" s="2" t="s">
        <v>986</v>
      </c>
      <c r="E307" s="2" t="s">
        <v>399</v>
      </c>
      <c r="F307" s="2" t="n">
        <v>1</v>
      </c>
      <c r="G307" s="2" t="s">
        <v>1072</v>
      </c>
    </row>
    <row r="308" customFormat="false" ht="15" hidden="false" customHeight="false" outlineLevel="0" collapsed="false">
      <c r="A308" s="2" t="s">
        <v>1360</v>
      </c>
      <c r="B308" s="2" t="s">
        <v>906</v>
      </c>
      <c r="C308" s="2" t="s">
        <v>1071</v>
      </c>
      <c r="D308" s="2" t="s">
        <v>989</v>
      </c>
      <c r="E308" s="2" t="s">
        <v>227</v>
      </c>
      <c r="F308" s="2" t="n">
        <v>1</v>
      </c>
      <c r="G308" s="2" t="s">
        <v>1074</v>
      </c>
    </row>
    <row r="309" customFormat="false" ht="15" hidden="false" customHeight="false" outlineLevel="0" collapsed="false">
      <c r="A309" s="2" t="s">
        <v>1361</v>
      </c>
      <c r="B309" s="2" t="s">
        <v>906</v>
      </c>
      <c r="C309" s="2" t="s">
        <v>1071</v>
      </c>
      <c r="D309" s="2" t="s">
        <v>992</v>
      </c>
      <c r="E309" s="2" t="s">
        <v>459</v>
      </c>
      <c r="F309" s="2" t="n">
        <v>1</v>
      </c>
      <c r="G309" s="2" t="s">
        <v>1141</v>
      </c>
    </row>
    <row r="310" customFormat="false" ht="15" hidden="false" customHeight="false" outlineLevel="0" collapsed="false">
      <c r="A310" s="2" t="s">
        <v>1362</v>
      </c>
      <c r="B310" s="2" t="s">
        <v>906</v>
      </c>
      <c r="C310" s="2" t="s">
        <v>220</v>
      </c>
      <c r="D310" s="2" t="s">
        <v>983</v>
      </c>
      <c r="E310" s="2" t="s">
        <v>369</v>
      </c>
      <c r="F310" s="2" t="n">
        <v>1</v>
      </c>
      <c r="G310" s="2" t="s">
        <v>1076</v>
      </c>
    </row>
    <row r="311" customFormat="false" ht="15" hidden="false" customHeight="false" outlineLevel="0" collapsed="false">
      <c r="A311" s="2" t="s">
        <v>1363</v>
      </c>
      <c r="B311" s="2" t="s">
        <v>906</v>
      </c>
      <c r="C311" s="2" t="s">
        <v>220</v>
      </c>
      <c r="D311" s="2" t="s">
        <v>986</v>
      </c>
      <c r="E311" s="2" t="s">
        <v>292</v>
      </c>
      <c r="F311" s="2" t="n">
        <v>1</v>
      </c>
      <c r="G311" s="2" t="s">
        <v>1078</v>
      </c>
    </row>
    <row r="312" customFormat="false" ht="15" hidden="false" customHeight="false" outlineLevel="0" collapsed="false">
      <c r="A312" s="2" t="s">
        <v>1364</v>
      </c>
      <c r="B312" s="2" t="s">
        <v>906</v>
      </c>
      <c r="C312" s="2" t="s">
        <v>220</v>
      </c>
      <c r="D312" s="2" t="s">
        <v>989</v>
      </c>
      <c r="E312" s="2" t="s">
        <v>392</v>
      </c>
      <c r="F312" s="2" t="n">
        <v>1</v>
      </c>
      <c r="G312" s="2" t="s">
        <v>1080</v>
      </c>
    </row>
    <row r="313" customFormat="false" ht="15" hidden="false" customHeight="false" outlineLevel="0" collapsed="false">
      <c r="A313" s="2" t="s">
        <v>1365</v>
      </c>
      <c r="B313" s="2" t="s">
        <v>906</v>
      </c>
      <c r="C313" s="2" t="s">
        <v>220</v>
      </c>
      <c r="D313" s="2" t="s">
        <v>992</v>
      </c>
      <c r="E313" s="2" t="s">
        <v>466</v>
      </c>
      <c r="F313" s="2" t="n">
        <v>1</v>
      </c>
      <c r="G313" s="2" t="s">
        <v>1082</v>
      </c>
    </row>
    <row r="314" customFormat="false" ht="15" hidden="false" customHeight="false" outlineLevel="0" collapsed="false">
      <c r="A314" s="2" t="s">
        <v>1366</v>
      </c>
      <c r="B314" s="2" t="s">
        <v>906</v>
      </c>
      <c r="C314" s="2" t="s">
        <v>220</v>
      </c>
      <c r="D314" s="2" t="s">
        <v>992</v>
      </c>
      <c r="E314" s="2" t="s">
        <v>466</v>
      </c>
      <c r="F314" s="2" t="n">
        <v>1</v>
      </c>
      <c r="G314" s="2" t="s">
        <v>1082</v>
      </c>
    </row>
    <row r="315" customFormat="false" ht="15" hidden="false" customHeight="false" outlineLevel="0" collapsed="false">
      <c r="A315" s="2" t="s">
        <v>1367</v>
      </c>
      <c r="B315" s="2" t="s">
        <v>909</v>
      </c>
      <c r="C315" s="2" t="s">
        <v>1085</v>
      </c>
      <c r="D315" s="2" t="s">
        <v>986</v>
      </c>
      <c r="E315" s="2" t="s">
        <v>311</v>
      </c>
      <c r="F315" s="2" t="n">
        <v>1</v>
      </c>
      <c r="G315" s="2" t="s">
        <v>1088</v>
      </c>
    </row>
    <row r="316" customFormat="false" ht="15" hidden="false" customHeight="false" outlineLevel="0" collapsed="false">
      <c r="A316" s="2" t="s">
        <v>1368</v>
      </c>
      <c r="B316" s="2" t="s">
        <v>909</v>
      </c>
      <c r="C316" s="2" t="s">
        <v>1085</v>
      </c>
      <c r="D316" s="2" t="s">
        <v>989</v>
      </c>
      <c r="E316" s="2" t="s">
        <v>335</v>
      </c>
      <c r="F316" s="2" t="n">
        <v>1</v>
      </c>
      <c r="G316" s="2" t="s">
        <v>1090</v>
      </c>
    </row>
    <row r="317" customFormat="false" ht="15" hidden="false" customHeight="false" outlineLevel="0" collapsed="false">
      <c r="A317" s="2" t="s">
        <v>1369</v>
      </c>
      <c r="B317" s="2" t="s">
        <v>909</v>
      </c>
      <c r="C317" s="2" t="s">
        <v>1085</v>
      </c>
      <c r="D317" s="2" t="s">
        <v>992</v>
      </c>
      <c r="E317" s="2" t="s">
        <v>369</v>
      </c>
      <c r="F317" s="2" t="n">
        <v>1</v>
      </c>
      <c r="G317" s="2" t="s">
        <v>1092</v>
      </c>
    </row>
    <row r="318" customFormat="false" ht="15" hidden="false" customHeight="false" outlineLevel="0" collapsed="false">
      <c r="A318" s="2" t="s">
        <v>1370</v>
      </c>
      <c r="B318" s="2" t="s">
        <v>909</v>
      </c>
      <c r="C318" s="2" t="s">
        <v>1085</v>
      </c>
      <c r="D318" s="2" t="s">
        <v>992</v>
      </c>
      <c r="E318" s="2" t="s">
        <v>369</v>
      </c>
      <c r="F318" s="2" t="n">
        <v>1</v>
      </c>
      <c r="G318" s="2" t="s">
        <v>1092</v>
      </c>
    </row>
    <row r="319" customFormat="false" ht="15" hidden="false" customHeight="false" outlineLevel="0" collapsed="false">
      <c r="A319" s="2" t="s">
        <v>1371</v>
      </c>
      <c r="B319" s="2" t="s">
        <v>909</v>
      </c>
      <c r="C319" s="2" t="s">
        <v>996</v>
      </c>
      <c r="D319" s="2" t="s">
        <v>986</v>
      </c>
      <c r="E319" s="2" t="s">
        <v>211</v>
      </c>
      <c r="F319" s="2" t="n">
        <v>1</v>
      </c>
      <c r="G319" s="2" t="s">
        <v>999</v>
      </c>
    </row>
    <row r="320" customFormat="false" ht="15" hidden="false" customHeight="false" outlineLevel="0" collapsed="false">
      <c r="A320" s="2" t="s">
        <v>1372</v>
      </c>
      <c r="B320" s="2" t="s">
        <v>909</v>
      </c>
      <c r="C320" s="2" t="s">
        <v>996</v>
      </c>
      <c r="D320" s="2" t="s">
        <v>989</v>
      </c>
      <c r="E320" s="2" t="s">
        <v>369</v>
      </c>
      <c r="F320" s="2" t="n">
        <v>1</v>
      </c>
      <c r="G320" s="2" t="s">
        <v>1001</v>
      </c>
    </row>
    <row r="321" customFormat="false" ht="15" hidden="false" customHeight="false" outlineLevel="0" collapsed="false">
      <c r="A321" s="2" t="s">
        <v>1373</v>
      </c>
      <c r="B321" s="2" t="s">
        <v>909</v>
      </c>
      <c r="C321" s="2" t="s">
        <v>996</v>
      </c>
      <c r="D321" s="2" t="s">
        <v>992</v>
      </c>
      <c r="E321" s="2" t="s">
        <v>484</v>
      </c>
      <c r="F321" s="2" t="n">
        <v>1</v>
      </c>
      <c r="G321" s="2" t="s">
        <v>1156</v>
      </c>
    </row>
    <row r="322" customFormat="false" ht="15" hidden="false" customHeight="false" outlineLevel="0" collapsed="false">
      <c r="A322" s="2" t="s">
        <v>1374</v>
      </c>
      <c r="B322" s="2" t="s">
        <v>909</v>
      </c>
      <c r="C322" s="2" t="s">
        <v>1003</v>
      </c>
      <c r="D322" s="2" t="s">
        <v>983</v>
      </c>
      <c r="E322" s="2" t="s">
        <v>357</v>
      </c>
      <c r="F322" s="2" t="n">
        <v>1</v>
      </c>
      <c r="G322" s="2" t="s">
        <v>1004</v>
      </c>
    </row>
    <row r="323" customFormat="false" ht="15" hidden="false" customHeight="false" outlineLevel="0" collapsed="false">
      <c r="A323" s="2" t="s">
        <v>1375</v>
      </c>
      <c r="B323" s="2" t="s">
        <v>909</v>
      </c>
      <c r="C323" s="2" t="s">
        <v>1003</v>
      </c>
      <c r="D323" s="2" t="s">
        <v>986</v>
      </c>
      <c r="E323" s="2" t="s">
        <v>369</v>
      </c>
      <c r="F323" s="2" t="n">
        <v>1</v>
      </c>
      <c r="G323" s="2" t="s">
        <v>1006</v>
      </c>
    </row>
    <row r="324" customFormat="false" ht="15" hidden="false" customHeight="false" outlineLevel="0" collapsed="false">
      <c r="A324" s="2" t="s">
        <v>1376</v>
      </c>
      <c r="B324" s="2" t="s">
        <v>909</v>
      </c>
      <c r="C324" s="2" t="s">
        <v>1003</v>
      </c>
      <c r="D324" s="2" t="s">
        <v>989</v>
      </c>
      <c r="E324" s="2" t="s">
        <v>448</v>
      </c>
      <c r="F324" s="2" t="n">
        <v>1</v>
      </c>
      <c r="G324" s="2" t="s">
        <v>1008</v>
      </c>
    </row>
    <row r="325" customFormat="false" ht="15" hidden="false" customHeight="false" outlineLevel="0" collapsed="false">
      <c r="A325" s="2" t="s">
        <v>1377</v>
      </c>
      <c r="B325" s="2" t="s">
        <v>909</v>
      </c>
      <c r="C325" s="2" t="s">
        <v>1003</v>
      </c>
      <c r="D325" s="2" t="s">
        <v>992</v>
      </c>
      <c r="E325" s="2" t="s">
        <v>490</v>
      </c>
      <c r="F325" s="2" t="n">
        <v>1</v>
      </c>
      <c r="G325" s="2" t="s">
        <v>1103</v>
      </c>
    </row>
    <row r="326" customFormat="false" ht="15" hidden="false" customHeight="false" outlineLevel="0" collapsed="false">
      <c r="A326" s="2" t="s">
        <v>1378</v>
      </c>
      <c r="B326" s="2" t="s">
        <v>909</v>
      </c>
      <c r="C326" s="2" t="s">
        <v>1010</v>
      </c>
      <c r="D326" s="2" t="s">
        <v>983</v>
      </c>
      <c r="E326" s="2" t="s">
        <v>256</v>
      </c>
      <c r="F326" s="2" t="n">
        <v>1</v>
      </c>
      <c r="G326" s="2" t="s">
        <v>1011</v>
      </c>
    </row>
    <row r="327" customFormat="false" ht="15" hidden="false" customHeight="false" outlineLevel="0" collapsed="false">
      <c r="A327" s="2" t="s">
        <v>1379</v>
      </c>
      <c r="B327" s="2" t="s">
        <v>909</v>
      </c>
      <c r="C327" s="2" t="s">
        <v>1010</v>
      </c>
      <c r="D327" s="2" t="s">
        <v>986</v>
      </c>
      <c r="E327" s="2" t="s">
        <v>341</v>
      </c>
      <c r="F327" s="2" t="n">
        <v>1</v>
      </c>
      <c r="G327" s="2" t="s">
        <v>1013</v>
      </c>
    </row>
    <row r="328" customFormat="false" ht="15" hidden="false" customHeight="false" outlineLevel="0" collapsed="false">
      <c r="A328" s="2" t="s">
        <v>1380</v>
      </c>
      <c r="B328" s="2" t="s">
        <v>909</v>
      </c>
      <c r="C328" s="2" t="s">
        <v>1010</v>
      </c>
      <c r="D328" s="2" t="s">
        <v>989</v>
      </c>
      <c r="E328" s="2" t="s">
        <v>347</v>
      </c>
      <c r="F328" s="2" t="n">
        <v>1</v>
      </c>
      <c r="G328" s="2" t="s">
        <v>1015</v>
      </c>
    </row>
    <row r="329" customFormat="false" ht="15" hidden="false" customHeight="false" outlineLevel="0" collapsed="false">
      <c r="A329" s="2" t="s">
        <v>1381</v>
      </c>
      <c r="B329" s="2" t="s">
        <v>909</v>
      </c>
      <c r="C329" s="2" t="s">
        <v>1010</v>
      </c>
      <c r="D329" s="2" t="s">
        <v>992</v>
      </c>
      <c r="E329" s="2" t="s">
        <v>459</v>
      </c>
      <c r="F329" s="2" t="n">
        <v>1</v>
      </c>
      <c r="G329" s="2" t="s">
        <v>1017</v>
      </c>
    </row>
    <row r="330" customFormat="false" ht="15" hidden="false" customHeight="false" outlineLevel="0" collapsed="false">
      <c r="A330" s="2" t="s">
        <v>1382</v>
      </c>
      <c r="B330" s="2" t="s">
        <v>909</v>
      </c>
      <c r="C330" s="2" t="s">
        <v>1010</v>
      </c>
      <c r="D330" s="2" t="s">
        <v>992</v>
      </c>
      <c r="E330" s="2" t="s">
        <v>496</v>
      </c>
      <c r="F330" s="2" t="n">
        <v>1</v>
      </c>
      <c r="G330" s="2" t="s">
        <v>1017</v>
      </c>
    </row>
    <row r="331" customFormat="false" ht="15" hidden="false" customHeight="false" outlineLevel="0" collapsed="false">
      <c r="A331" s="2" t="s">
        <v>1383</v>
      </c>
      <c r="B331" s="2" t="s">
        <v>909</v>
      </c>
      <c r="C331" s="2" t="s">
        <v>1019</v>
      </c>
      <c r="D331" s="2" t="s">
        <v>986</v>
      </c>
      <c r="E331" s="2" t="s">
        <v>357</v>
      </c>
      <c r="F331" s="2" t="n">
        <v>1</v>
      </c>
      <c r="G331" s="2" t="s">
        <v>1020</v>
      </c>
    </row>
    <row r="332" customFormat="false" ht="15" hidden="false" customHeight="false" outlineLevel="0" collapsed="false">
      <c r="A332" s="2" t="s">
        <v>1384</v>
      </c>
      <c r="B332" s="2" t="s">
        <v>909</v>
      </c>
      <c r="C332" s="2" t="s">
        <v>1019</v>
      </c>
      <c r="D332" s="2" t="s">
        <v>989</v>
      </c>
      <c r="E332" s="2" t="s">
        <v>454</v>
      </c>
      <c r="F332" s="2" t="n">
        <v>1</v>
      </c>
      <c r="G332" s="2" t="s">
        <v>1022</v>
      </c>
    </row>
    <row r="333" customFormat="false" ht="15" hidden="false" customHeight="false" outlineLevel="0" collapsed="false">
      <c r="A333" s="2" t="s">
        <v>1385</v>
      </c>
      <c r="B333" s="2" t="s">
        <v>909</v>
      </c>
      <c r="C333" s="2" t="s">
        <v>1033</v>
      </c>
      <c r="D333" s="2" t="s">
        <v>983</v>
      </c>
      <c r="E333" s="2" t="s">
        <v>268</v>
      </c>
      <c r="F333" s="2" t="n">
        <v>1</v>
      </c>
      <c r="G333" s="2" t="s">
        <v>1034</v>
      </c>
    </row>
    <row r="334" customFormat="false" ht="15" hidden="false" customHeight="false" outlineLevel="0" collapsed="false">
      <c r="A334" s="2" t="s">
        <v>1386</v>
      </c>
      <c r="B334" s="2" t="s">
        <v>909</v>
      </c>
      <c r="C334" s="2" t="s">
        <v>1033</v>
      </c>
      <c r="D334" s="2" t="s">
        <v>986</v>
      </c>
      <c r="E334" s="2" t="s">
        <v>347</v>
      </c>
      <c r="F334" s="2" t="n">
        <v>1</v>
      </c>
      <c r="G334" s="2" t="s">
        <v>1036</v>
      </c>
    </row>
    <row r="335" customFormat="false" ht="15" hidden="false" customHeight="false" outlineLevel="0" collapsed="false">
      <c r="A335" s="2" t="s">
        <v>1387</v>
      </c>
      <c r="B335" s="2" t="s">
        <v>909</v>
      </c>
      <c r="C335" s="2" t="s">
        <v>1033</v>
      </c>
      <c r="D335" s="2" t="s">
        <v>989</v>
      </c>
      <c r="E335" s="2" t="s">
        <v>311</v>
      </c>
      <c r="F335" s="2" t="n">
        <v>1</v>
      </c>
      <c r="G335" s="2" t="s">
        <v>1038</v>
      </c>
    </row>
    <row r="336" customFormat="false" ht="15" hidden="false" customHeight="false" outlineLevel="0" collapsed="false">
      <c r="A336" s="2" t="s">
        <v>1388</v>
      </c>
      <c r="B336" s="2" t="s">
        <v>909</v>
      </c>
      <c r="C336" s="2" t="s">
        <v>1033</v>
      </c>
      <c r="D336" s="2" t="s">
        <v>992</v>
      </c>
      <c r="E336" s="2" t="s">
        <v>466</v>
      </c>
      <c r="F336" s="2" t="n">
        <v>1</v>
      </c>
      <c r="G336" s="2" t="s">
        <v>1040</v>
      </c>
    </row>
    <row r="337" customFormat="false" ht="15" hidden="false" customHeight="false" outlineLevel="0" collapsed="false">
      <c r="A337" s="2" t="s">
        <v>1389</v>
      </c>
      <c r="B337" s="2" t="s">
        <v>909</v>
      </c>
      <c r="C337" s="2" t="s">
        <v>1033</v>
      </c>
      <c r="D337" s="2" t="s">
        <v>992</v>
      </c>
      <c r="E337" s="2" t="s">
        <v>466</v>
      </c>
      <c r="F337" s="2" t="n">
        <v>1</v>
      </c>
      <c r="G337" s="2" t="s">
        <v>1040</v>
      </c>
    </row>
    <row r="338" customFormat="false" ht="15" hidden="false" customHeight="false" outlineLevel="0" collapsed="false">
      <c r="A338" s="2" t="s">
        <v>1390</v>
      </c>
      <c r="B338" s="2" t="s">
        <v>909</v>
      </c>
      <c r="C338" s="2" t="s">
        <v>1043</v>
      </c>
      <c r="D338" s="2" t="s">
        <v>983</v>
      </c>
      <c r="E338" s="2" t="s">
        <v>304</v>
      </c>
      <c r="F338" s="2" t="n">
        <v>1</v>
      </c>
      <c r="G338" s="2" t="s">
        <v>1044</v>
      </c>
    </row>
    <row r="339" customFormat="false" ht="15" hidden="false" customHeight="false" outlineLevel="0" collapsed="false">
      <c r="A339" s="2" t="s">
        <v>1391</v>
      </c>
      <c r="B339" s="2" t="s">
        <v>909</v>
      </c>
      <c r="C339" s="2" t="s">
        <v>1043</v>
      </c>
      <c r="D339" s="2" t="s">
        <v>986</v>
      </c>
      <c r="E339" s="2" t="s">
        <v>262</v>
      </c>
      <c r="F339" s="2" t="n">
        <v>1</v>
      </c>
      <c r="G339" s="2" t="s">
        <v>1046</v>
      </c>
    </row>
    <row r="340" customFormat="false" ht="15" hidden="false" customHeight="false" outlineLevel="0" collapsed="false">
      <c r="A340" s="2" t="s">
        <v>1392</v>
      </c>
      <c r="B340" s="2" t="s">
        <v>909</v>
      </c>
      <c r="C340" s="2" t="s">
        <v>1043</v>
      </c>
      <c r="D340" s="2" t="s">
        <v>989</v>
      </c>
      <c r="E340" s="2" t="s">
        <v>280</v>
      </c>
      <c r="F340" s="2" t="n">
        <v>1</v>
      </c>
      <c r="G340" s="2" t="s">
        <v>1048</v>
      </c>
    </row>
    <row r="341" customFormat="false" ht="15" hidden="false" customHeight="false" outlineLevel="0" collapsed="false">
      <c r="A341" s="2" t="s">
        <v>1393</v>
      </c>
      <c r="B341" s="2" t="s">
        <v>909</v>
      </c>
      <c r="C341" s="2" t="s">
        <v>1052</v>
      </c>
      <c r="D341" s="2" t="s">
        <v>983</v>
      </c>
      <c r="E341" s="2" t="s">
        <v>274</v>
      </c>
      <c r="F341" s="2" t="n">
        <v>1</v>
      </c>
      <c r="G341" s="2" t="s">
        <v>1053</v>
      </c>
    </row>
    <row r="342" customFormat="false" ht="15" hidden="false" customHeight="false" outlineLevel="0" collapsed="false">
      <c r="A342" s="2" t="s">
        <v>1394</v>
      </c>
      <c r="B342" s="2" t="s">
        <v>909</v>
      </c>
      <c r="C342" s="2" t="s">
        <v>1052</v>
      </c>
      <c r="D342" s="2" t="s">
        <v>986</v>
      </c>
      <c r="E342" s="2" t="s">
        <v>227</v>
      </c>
      <c r="F342" s="2" t="n">
        <v>1</v>
      </c>
      <c r="G342" s="2" t="s">
        <v>1055</v>
      </c>
    </row>
    <row r="343" customFormat="false" ht="15" hidden="false" customHeight="false" outlineLevel="0" collapsed="false">
      <c r="A343" s="2" t="s">
        <v>1395</v>
      </c>
      <c r="B343" s="2" t="s">
        <v>909</v>
      </c>
      <c r="C343" s="2" t="s">
        <v>1052</v>
      </c>
      <c r="D343" s="2" t="s">
        <v>989</v>
      </c>
      <c r="E343" s="2" t="s">
        <v>386</v>
      </c>
      <c r="F343" s="2" t="n">
        <v>1</v>
      </c>
      <c r="G343" s="2" t="s">
        <v>1057</v>
      </c>
    </row>
    <row r="344" customFormat="false" ht="15" hidden="false" customHeight="false" outlineLevel="0" collapsed="false">
      <c r="A344" s="2" t="s">
        <v>1396</v>
      </c>
      <c r="B344" s="2" t="s">
        <v>909</v>
      </c>
      <c r="C344" s="2" t="s">
        <v>1052</v>
      </c>
      <c r="D344" s="2" t="s">
        <v>992</v>
      </c>
      <c r="E344" s="2" t="s">
        <v>466</v>
      </c>
      <c r="F344" s="2" t="n">
        <v>1</v>
      </c>
      <c r="G344" s="2" t="s">
        <v>1059</v>
      </c>
    </row>
    <row r="345" customFormat="false" ht="15" hidden="false" customHeight="false" outlineLevel="0" collapsed="false">
      <c r="A345" s="2" t="s">
        <v>1397</v>
      </c>
      <c r="B345" s="2" t="s">
        <v>909</v>
      </c>
      <c r="C345" s="2" t="s">
        <v>1128</v>
      </c>
      <c r="D345" s="2" t="s">
        <v>983</v>
      </c>
      <c r="E345" s="2" t="s">
        <v>369</v>
      </c>
      <c r="F345" s="2" t="n">
        <v>1</v>
      </c>
      <c r="G345" s="2" t="s">
        <v>1129</v>
      </c>
    </row>
    <row r="346" customFormat="false" ht="15" hidden="false" customHeight="false" outlineLevel="0" collapsed="false">
      <c r="A346" s="2" t="s">
        <v>1398</v>
      </c>
      <c r="B346" s="2" t="s">
        <v>909</v>
      </c>
      <c r="C346" s="2" t="s">
        <v>1128</v>
      </c>
      <c r="D346" s="2" t="s">
        <v>986</v>
      </c>
      <c r="E346" s="2" t="s">
        <v>239</v>
      </c>
      <c r="F346" s="2" t="n">
        <v>1</v>
      </c>
      <c r="G346" s="2" t="s">
        <v>1131</v>
      </c>
    </row>
    <row r="347" customFormat="false" ht="15" hidden="false" customHeight="false" outlineLevel="0" collapsed="false">
      <c r="A347" s="2" t="s">
        <v>1399</v>
      </c>
      <c r="B347" s="2" t="s">
        <v>909</v>
      </c>
      <c r="C347" s="2" t="s">
        <v>1128</v>
      </c>
      <c r="D347" s="2" t="s">
        <v>989</v>
      </c>
      <c r="E347" s="2" t="s">
        <v>304</v>
      </c>
      <c r="F347" s="2" t="n">
        <v>1</v>
      </c>
      <c r="G347" s="2" t="s">
        <v>1133</v>
      </c>
    </row>
    <row r="348" customFormat="false" ht="15" hidden="false" customHeight="false" outlineLevel="0" collapsed="false">
      <c r="A348" s="2" t="s">
        <v>1400</v>
      </c>
      <c r="B348" s="2" t="s">
        <v>909</v>
      </c>
      <c r="C348" s="2" t="s">
        <v>1128</v>
      </c>
      <c r="D348" s="2" t="s">
        <v>992</v>
      </c>
      <c r="E348" s="2" t="s">
        <v>369</v>
      </c>
      <c r="F348" s="2" t="n">
        <v>1</v>
      </c>
      <c r="G348" s="2" t="s">
        <v>1135</v>
      </c>
    </row>
    <row r="349" customFormat="false" ht="15" hidden="false" customHeight="false" outlineLevel="0" collapsed="false">
      <c r="A349" s="2" t="s">
        <v>1401</v>
      </c>
      <c r="B349" s="2" t="s">
        <v>909</v>
      </c>
      <c r="C349" s="2" t="s">
        <v>1061</v>
      </c>
      <c r="D349" s="2" t="s">
        <v>983</v>
      </c>
      <c r="E349" s="2" t="s">
        <v>369</v>
      </c>
      <c r="F349" s="2" t="n">
        <v>1</v>
      </c>
      <c r="G349" s="2" t="s">
        <v>1062</v>
      </c>
    </row>
    <row r="350" customFormat="false" ht="15" hidden="false" customHeight="false" outlineLevel="0" collapsed="false">
      <c r="A350" s="2" t="s">
        <v>1402</v>
      </c>
      <c r="B350" s="2" t="s">
        <v>909</v>
      </c>
      <c r="C350" s="2" t="s">
        <v>1061</v>
      </c>
      <c r="D350" s="2" t="s">
        <v>986</v>
      </c>
      <c r="E350" s="2" t="s">
        <v>292</v>
      </c>
      <c r="F350" s="2" t="n">
        <v>1</v>
      </c>
      <c r="G350" s="2" t="s">
        <v>1064</v>
      </c>
    </row>
    <row r="351" customFormat="false" ht="15" hidden="false" customHeight="false" outlineLevel="0" collapsed="false">
      <c r="A351" s="2" t="s">
        <v>1403</v>
      </c>
      <c r="B351" s="2" t="s">
        <v>909</v>
      </c>
      <c r="C351" s="2" t="s">
        <v>1071</v>
      </c>
      <c r="D351" s="2" t="s">
        <v>983</v>
      </c>
      <c r="E351" s="2" t="s">
        <v>292</v>
      </c>
      <c r="F351" s="2" t="n">
        <v>1</v>
      </c>
      <c r="G351" s="2" t="s">
        <v>1138</v>
      </c>
    </row>
    <row r="352" customFormat="false" ht="15" hidden="false" customHeight="false" outlineLevel="0" collapsed="false">
      <c r="A352" s="2" t="s">
        <v>1404</v>
      </c>
      <c r="B352" s="2" t="s">
        <v>909</v>
      </c>
      <c r="C352" s="2" t="s">
        <v>1071</v>
      </c>
      <c r="D352" s="2" t="s">
        <v>986</v>
      </c>
      <c r="E352" s="2" t="s">
        <v>386</v>
      </c>
      <c r="F352" s="2" t="n">
        <v>1</v>
      </c>
      <c r="G352" s="2" t="s">
        <v>1072</v>
      </c>
    </row>
    <row r="353" customFormat="false" ht="15" hidden="false" customHeight="false" outlineLevel="0" collapsed="false">
      <c r="A353" s="2" t="s">
        <v>1405</v>
      </c>
      <c r="B353" s="2" t="s">
        <v>909</v>
      </c>
      <c r="C353" s="2" t="s">
        <v>1071</v>
      </c>
      <c r="D353" s="2" t="s">
        <v>992</v>
      </c>
      <c r="E353" s="2" t="s">
        <v>466</v>
      </c>
      <c r="F353" s="2" t="n">
        <v>1</v>
      </c>
      <c r="G353" s="2" t="s">
        <v>1141</v>
      </c>
    </row>
    <row r="354" customFormat="false" ht="15" hidden="false" customHeight="false" outlineLevel="0" collapsed="false">
      <c r="A354" s="2" t="s">
        <v>1406</v>
      </c>
      <c r="B354" s="2" t="s">
        <v>909</v>
      </c>
      <c r="C354" s="2" t="s">
        <v>220</v>
      </c>
      <c r="D354" s="2" t="s">
        <v>986</v>
      </c>
      <c r="E354" s="2" t="s">
        <v>250</v>
      </c>
      <c r="F354" s="2" t="n">
        <v>1</v>
      </c>
      <c r="G354" s="2" t="s">
        <v>1078</v>
      </c>
    </row>
    <row r="355" customFormat="false" ht="15" hidden="false" customHeight="false" outlineLevel="0" collapsed="false">
      <c r="A355" s="2" t="s">
        <v>1407</v>
      </c>
      <c r="B355" s="2" t="s">
        <v>909</v>
      </c>
      <c r="C355" s="2" t="s">
        <v>220</v>
      </c>
      <c r="D355" s="2" t="s">
        <v>989</v>
      </c>
      <c r="E355" s="2" t="s">
        <v>227</v>
      </c>
      <c r="F355" s="2" t="n">
        <v>1</v>
      </c>
      <c r="G355" s="2" t="s">
        <v>1080</v>
      </c>
    </row>
    <row r="356" customFormat="false" ht="15" hidden="false" customHeight="false" outlineLevel="0" collapsed="false">
      <c r="A356" s="2" t="s">
        <v>1408</v>
      </c>
      <c r="B356" s="2" t="s">
        <v>909</v>
      </c>
      <c r="C356" s="2" t="s">
        <v>220</v>
      </c>
      <c r="D356" s="2" t="s">
        <v>992</v>
      </c>
      <c r="E356" s="2" t="s">
        <v>459</v>
      </c>
      <c r="F356" s="2" t="n">
        <v>1</v>
      </c>
      <c r="G356" s="2" t="s">
        <v>1082</v>
      </c>
    </row>
    <row r="357" customFormat="false" ht="15" hidden="false" customHeight="false" outlineLevel="0" collapsed="false">
      <c r="A357" s="2" t="s">
        <v>1409</v>
      </c>
      <c r="B357" s="2" t="s">
        <v>912</v>
      </c>
      <c r="C357" s="2" t="s">
        <v>1085</v>
      </c>
      <c r="D357" s="2" t="s">
        <v>983</v>
      </c>
      <c r="E357" s="2" t="s">
        <v>304</v>
      </c>
      <c r="F357" s="2" t="n">
        <v>1</v>
      </c>
      <c r="G357" s="2" t="s">
        <v>1086</v>
      </c>
    </row>
    <row r="358" customFormat="false" ht="15" hidden="false" customHeight="false" outlineLevel="0" collapsed="false">
      <c r="A358" s="2" t="s">
        <v>1410</v>
      </c>
      <c r="B358" s="2" t="s">
        <v>912</v>
      </c>
      <c r="C358" s="2" t="s">
        <v>1085</v>
      </c>
      <c r="D358" s="2" t="s">
        <v>986</v>
      </c>
      <c r="E358" s="2" t="s">
        <v>357</v>
      </c>
      <c r="F358" s="2" t="n">
        <v>1</v>
      </c>
      <c r="G358" s="2" t="s">
        <v>1088</v>
      </c>
    </row>
    <row r="359" customFormat="false" ht="15" hidden="false" customHeight="false" outlineLevel="0" collapsed="false">
      <c r="A359" s="2" t="s">
        <v>1411</v>
      </c>
      <c r="B359" s="2" t="s">
        <v>912</v>
      </c>
      <c r="C359" s="2" t="s">
        <v>1085</v>
      </c>
      <c r="D359" s="2" t="s">
        <v>989</v>
      </c>
      <c r="E359" s="2" t="s">
        <v>436</v>
      </c>
      <c r="F359" s="2" t="n">
        <v>1</v>
      </c>
      <c r="G359" s="2" t="s">
        <v>1090</v>
      </c>
    </row>
    <row r="360" customFormat="false" ht="15" hidden="false" customHeight="false" outlineLevel="0" collapsed="false">
      <c r="A360" s="2" t="s">
        <v>1412</v>
      </c>
      <c r="B360" s="2" t="s">
        <v>912</v>
      </c>
      <c r="C360" s="2" t="s">
        <v>1085</v>
      </c>
      <c r="D360" s="2" t="s">
        <v>992</v>
      </c>
      <c r="E360" s="2" t="s">
        <v>335</v>
      </c>
      <c r="F360" s="2" t="n">
        <v>1</v>
      </c>
      <c r="G360" s="2" t="s">
        <v>1092</v>
      </c>
    </row>
    <row r="361" customFormat="false" ht="15" hidden="false" customHeight="false" outlineLevel="0" collapsed="false">
      <c r="A361" s="2" t="s">
        <v>1413</v>
      </c>
      <c r="B361" s="2" t="s">
        <v>912</v>
      </c>
      <c r="C361" s="2" t="s">
        <v>996</v>
      </c>
      <c r="D361" s="2" t="s">
        <v>983</v>
      </c>
      <c r="E361" s="2" t="s">
        <v>286</v>
      </c>
      <c r="F361" s="2" t="n">
        <v>1</v>
      </c>
      <c r="G361" s="2" t="s">
        <v>997</v>
      </c>
    </row>
    <row r="362" customFormat="false" ht="15" hidden="false" customHeight="false" outlineLevel="0" collapsed="false">
      <c r="A362" s="2" t="s">
        <v>1414</v>
      </c>
      <c r="B362" s="2" t="s">
        <v>912</v>
      </c>
      <c r="C362" s="2" t="s">
        <v>996</v>
      </c>
      <c r="D362" s="2" t="s">
        <v>986</v>
      </c>
      <c r="E362" s="2" t="s">
        <v>274</v>
      </c>
      <c r="F362" s="2" t="n">
        <v>1</v>
      </c>
      <c r="G362" s="2" t="s">
        <v>999</v>
      </c>
    </row>
    <row r="363" customFormat="false" ht="15" hidden="false" customHeight="false" outlineLevel="0" collapsed="false">
      <c r="A363" s="2" t="s">
        <v>1415</v>
      </c>
      <c r="B363" s="2" t="s">
        <v>912</v>
      </c>
      <c r="C363" s="2" t="s">
        <v>996</v>
      </c>
      <c r="D363" s="2" t="s">
        <v>989</v>
      </c>
      <c r="E363" s="2" t="s">
        <v>363</v>
      </c>
      <c r="F363" s="2" t="n">
        <v>1</v>
      </c>
      <c r="G363" s="2" t="s">
        <v>1001</v>
      </c>
    </row>
    <row r="364" customFormat="false" ht="15" hidden="false" customHeight="false" outlineLevel="0" collapsed="false">
      <c r="A364" s="2" t="s">
        <v>1416</v>
      </c>
      <c r="B364" s="2" t="s">
        <v>912</v>
      </c>
      <c r="C364" s="2" t="s">
        <v>1003</v>
      </c>
      <c r="D364" s="2" t="s">
        <v>983</v>
      </c>
      <c r="E364" s="2" t="s">
        <v>250</v>
      </c>
      <c r="F364" s="2" t="n">
        <v>1</v>
      </c>
      <c r="G364" s="2" t="s">
        <v>1004</v>
      </c>
    </row>
    <row r="365" customFormat="false" ht="15" hidden="false" customHeight="false" outlineLevel="0" collapsed="false">
      <c r="A365" s="2" t="s">
        <v>1417</v>
      </c>
      <c r="B365" s="2" t="s">
        <v>912</v>
      </c>
      <c r="C365" s="2" t="s">
        <v>1003</v>
      </c>
      <c r="D365" s="2" t="s">
        <v>986</v>
      </c>
      <c r="E365" s="2" t="s">
        <v>239</v>
      </c>
      <c r="F365" s="2" t="n">
        <v>1</v>
      </c>
      <c r="G365" s="2" t="s">
        <v>1006</v>
      </c>
    </row>
    <row r="366" customFormat="false" ht="15" hidden="false" customHeight="false" outlineLevel="0" collapsed="false">
      <c r="A366" s="2" t="s">
        <v>1418</v>
      </c>
      <c r="B366" s="2" t="s">
        <v>912</v>
      </c>
      <c r="C366" s="2" t="s">
        <v>1003</v>
      </c>
      <c r="D366" s="2" t="s">
        <v>989</v>
      </c>
      <c r="E366" s="2" t="s">
        <v>418</v>
      </c>
      <c r="F366" s="2" t="n">
        <v>1</v>
      </c>
      <c r="G366" s="2" t="s">
        <v>1008</v>
      </c>
    </row>
    <row r="367" customFormat="false" ht="15" hidden="false" customHeight="false" outlineLevel="0" collapsed="false">
      <c r="A367" s="2" t="s">
        <v>1419</v>
      </c>
      <c r="B367" s="2" t="s">
        <v>912</v>
      </c>
      <c r="C367" s="2" t="s">
        <v>1003</v>
      </c>
      <c r="D367" s="2" t="s">
        <v>992</v>
      </c>
      <c r="E367" s="2" t="s">
        <v>466</v>
      </c>
      <c r="F367" s="2" t="n">
        <v>1</v>
      </c>
      <c r="G367" s="2" t="s">
        <v>1103</v>
      </c>
    </row>
    <row r="368" customFormat="false" ht="15" hidden="false" customHeight="false" outlineLevel="0" collapsed="false">
      <c r="A368" s="2" t="s">
        <v>1420</v>
      </c>
      <c r="B368" s="2" t="s">
        <v>912</v>
      </c>
      <c r="C368" s="2" t="s">
        <v>1003</v>
      </c>
      <c r="D368" s="2" t="s">
        <v>992</v>
      </c>
      <c r="E368" s="2" t="s">
        <v>496</v>
      </c>
      <c r="F368" s="2" t="n">
        <v>1</v>
      </c>
      <c r="G368" s="2" t="s">
        <v>1103</v>
      </c>
    </row>
    <row r="369" customFormat="false" ht="15" hidden="false" customHeight="false" outlineLevel="0" collapsed="false">
      <c r="A369" s="2" t="s">
        <v>1421</v>
      </c>
      <c r="B369" s="2" t="s">
        <v>912</v>
      </c>
      <c r="C369" s="2" t="s">
        <v>1010</v>
      </c>
      <c r="D369" s="2" t="s">
        <v>983</v>
      </c>
      <c r="E369" s="2" t="s">
        <v>274</v>
      </c>
      <c r="F369" s="2" t="n">
        <v>1</v>
      </c>
      <c r="G369" s="2" t="s">
        <v>1011</v>
      </c>
    </row>
    <row r="370" customFormat="false" ht="15" hidden="false" customHeight="false" outlineLevel="0" collapsed="false">
      <c r="A370" s="2" t="s">
        <v>1422</v>
      </c>
      <c r="B370" s="2" t="s">
        <v>912</v>
      </c>
      <c r="C370" s="2" t="s">
        <v>1010</v>
      </c>
      <c r="D370" s="2" t="s">
        <v>986</v>
      </c>
      <c r="E370" s="2" t="s">
        <v>392</v>
      </c>
      <c r="F370" s="2" t="n">
        <v>1</v>
      </c>
      <c r="G370" s="2" t="s">
        <v>1013</v>
      </c>
    </row>
    <row r="371" customFormat="false" ht="15" hidden="false" customHeight="false" outlineLevel="0" collapsed="false">
      <c r="A371" s="2" t="s">
        <v>1423</v>
      </c>
      <c r="B371" s="2" t="s">
        <v>912</v>
      </c>
      <c r="C371" s="2" t="s">
        <v>1010</v>
      </c>
      <c r="D371" s="2" t="s">
        <v>989</v>
      </c>
      <c r="E371" s="2" t="s">
        <v>317</v>
      </c>
      <c r="F371" s="2" t="n">
        <v>1</v>
      </c>
      <c r="G371" s="2" t="s">
        <v>1015</v>
      </c>
    </row>
    <row r="372" customFormat="false" ht="15" hidden="false" customHeight="false" outlineLevel="0" collapsed="false">
      <c r="A372" s="2" t="s">
        <v>1424</v>
      </c>
      <c r="B372" s="2" t="s">
        <v>912</v>
      </c>
      <c r="C372" s="2" t="s">
        <v>1010</v>
      </c>
      <c r="D372" s="2" t="s">
        <v>992</v>
      </c>
      <c r="E372" s="2" t="s">
        <v>466</v>
      </c>
      <c r="F372" s="2" t="n">
        <v>1</v>
      </c>
      <c r="G372" s="2" t="s">
        <v>1017</v>
      </c>
    </row>
    <row r="373" customFormat="false" ht="15" hidden="false" customHeight="false" outlineLevel="0" collapsed="false">
      <c r="A373" s="2" t="s">
        <v>1425</v>
      </c>
      <c r="B373" s="2" t="s">
        <v>912</v>
      </c>
      <c r="C373" s="2" t="s">
        <v>1010</v>
      </c>
      <c r="D373" s="2" t="s">
        <v>992</v>
      </c>
      <c r="E373" s="2" t="s">
        <v>466</v>
      </c>
      <c r="F373" s="2" t="n">
        <v>1</v>
      </c>
      <c r="G373" s="2" t="s">
        <v>1017</v>
      </c>
    </row>
    <row r="374" customFormat="false" ht="15" hidden="false" customHeight="false" outlineLevel="0" collapsed="false">
      <c r="A374" s="2" t="s">
        <v>1426</v>
      </c>
      <c r="B374" s="2" t="s">
        <v>912</v>
      </c>
      <c r="C374" s="2" t="s">
        <v>1019</v>
      </c>
      <c r="D374" s="2" t="s">
        <v>986</v>
      </c>
      <c r="E374" s="2" t="s">
        <v>304</v>
      </c>
      <c r="F374" s="2" t="n">
        <v>1</v>
      </c>
      <c r="G374" s="2" t="s">
        <v>1020</v>
      </c>
    </row>
    <row r="375" customFormat="false" ht="15" hidden="false" customHeight="false" outlineLevel="0" collapsed="false">
      <c r="A375" s="2" t="s">
        <v>1427</v>
      </c>
      <c r="B375" s="2" t="s">
        <v>912</v>
      </c>
      <c r="C375" s="2" t="s">
        <v>1019</v>
      </c>
      <c r="D375" s="2" t="s">
        <v>989</v>
      </c>
      <c r="E375" s="2" t="s">
        <v>352</v>
      </c>
      <c r="F375" s="2" t="n">
        <v>1</v>
      </c>
      <c r="G375" s="2" t="s">
        <v>1022</v>
      </c>
    </row>
    <row r="376" customFormat="false" ht="15" hidden="false" customHeight="false" outlineLevel="0" collapsed="false">
      <c r="A376" s="2" t="s">
        <v>1428</v>
      </c>
      <c r="B376" s="2" t="s">
        <v>912</v>
      </c>
      <c r="C376" s="2" t="s">
        <v>1019</v>
      </c>
      <c r="D376" s="2" t="s">
        <v>992</v>
      </c>
      <c r="E376" s="2" t="s">
        <v>484</v>
      </c>
      <c r="F376" s="2" t="n">
        <v>1</v>
      </c>
      <c r="G376" s="2" t="s">
        <v>1024</v>
      </c>
    </row>
    <row r="377" customFormat="false" ht="15" hidden="false" customHeight="false" outlineLevel="0" collapsed="false">
      <c r="A377" s="2" t="s">
        <v>1429</v>
      </c>
      <c r="B377" s="2" t="s">
        <v>912</v>
      </c>
      <c r="C377" s="2" t="s">
        <v>1026</v>
      </c>
      <c r="D377" s="2" t="s">
        <v>983</v>
      </c>
      <c r="E377" s="2" t="s">
        <v>292</v>
      </c>
      <c r="F377" s="2" t="n">
        <v>1</v>
      </c>
      <c r="G377" s="2" t="s">
        <v>1027</v>
      </c>
    </row>
    <row r="378" customFormat="false" ht="15" hidden="false" customHeight="false" outlineLevel="0" collapsed="false">
      <c r="A378" s="2" t="s">
        <v>1430</v>
      </c>
      <c r="B378" s="2" t="s">
        <v>912</v>
      </c>
      <c r="C378" s="2" t="s">
        <v>1026</v>
      </c>
      <c r="D378" s="2" t="s">
        <v>986</v>
      </c>
      <c r="E378" s="2" t="s">
        <v>298</v>
      </c>
      <c r="F378" s="2" t="n">
        <v>1</v>
      </c>
      <c r="G378" s="2" t="s">
        <v>1029</v>
      </c>
    </row>
    <row r="379" customFormat="false" ht="15" hidden="false" customHeight="false" outlineLevel="0" collapsed="false">
      <c r="A379" s="2" t="s">
        <v>1431</v>
      </c>
      <c r="B379" s="2" t="s">
        <v>912</v>
      </c>
      <c r="C379" s="2" t="s">
        <v>1026</v>
      </c>
      <c r="D379" s="2" t="s">
        <v>989</v>
      </c>
      <c r="E379" s="2" t="s">
        <v>448</v>
      </c>
      <c r="F379" s="2" t="n">
        <v>1</v>
      </c>
      <c r="G379" s="2" t="s">
        <v>1031</v>
      </c>
    </row>
    <row r="380" customFormat="false" ht="15" hidden="false" customHeight="false" outlineLevel="0" collapsed="false">
      <c r="A380" s="2" t="s">
        <v>1432</v>
      </c>
      <c r="B380" s="2" t="s">
        <v>912</v>
      </c>
      <c r="C380" s="2" t="s">
        <v>1026</v>
      </c>
      <c r="D380" s="2" t="s">
        <v>992</v>
      </c>
      <c r="E380" s="2" t="s">
        <v>490</v>
      </c>
      <c r="F380" s="2" t="n">
        <v>1</v>
      </c>
      <c r="G380" s="2" t="s">
        <v>1114</v>
      </c>
    </row>
    <row r="381" customFormat="false" ht="15" hidden="false" customHeight="false" outlineLevel="0" collapsed="false">
      <c r="A381" s="2" t="s">
        <v>1433</v>
      </c>
      <c r="B381" s="2" t="s">
        <v>912</v>
      </c>
      <c r="C381" s="2" t="s">
        <v>1026</v>
      </c>
      <c r="D381" s="2" t="s">
        <v>992</v>
      </c>
      <c r="E381" s="2" t="s">
        <v>466</v>
      </c>
      <c r="F381" s="2" t="n">
        <v>1</v>
      </c>
      <c r="G381" s="2" t="s">
        <v>1114</v>
      </c>
    </row>
    <row r="382" customFormat="false" ht="15" hidden="false" customHeight="false" outlineLevel="0" collapsed="false">
      <c r="A382" s="2" t="s">
        <v>1434</v>
      </c>
      <c r="B382" s="2" t="s">
        <v>912</v>
      </c>
      <c r="C382" s="2" t="s">
        <v>1033</v>
      </c>
      <c r="D382" s="2" t="s">
        <v>986</v>
      </c>
      <c r="E382" s="2" t="s">
        <v>357</v>
      </c>
      <c r="F382" s="2" t="n">
        <v>1</v>
      </c>
      <c r="G382" s="2" t="s">
        <v>1036</v>
      </c>
    </row>
    <row r="383" customFormat="false" ht="15" hidden="false" customHeight="false" outlineLevel="0" collapsed="false">
      <c r="A383" s="2" t="s">
        <v>1435</v>
      </c>
      <c r="B383" s="2" t="s">
        <v>912</v>
      </c>
      <c r="C383" s="2" t="s">
        <v>1033</v>
      </c>
      <c r="D383" s="2" t="s">
        <v>989</v>
      </c>
      <c r="E383" s="2" t="s">
        <v>442</v>
      </c>
      <c r="F383" s="2" t="n">
        <v>1</v>
      </c>
      <c r="G383" s="2" t="s">
        <v>1038</v>
      </c>
    </row>
    <row r="384" customFormat="false" ht="15" hidden="false" customHeight="false" outlineLevel="0" collapsed="false">
      <c r="A384" s="2" t="s">
        <v>1436</v>
      </c>
      <c r="B384" s="2" t="s">
        <v>912</v>
      </c>
      <c r="C384" s="2" t="s">
        <v>1043</v>
      </c>
      <c r="D384" s="2" t="s">
        <v>986</v>
      </c>
      <c r="E384" s="2" t="s">
        <v>380</v>
      </c>
      <c r="F384" s="2" t="n">
        <v>1</v>
      </c>
      <c r="G384" s="2" t="s">
        <v>1046</v>
      </c>
    </row>
    <row r="385" customFormat="false" ht="15" hidden="false" customHeight="false" outlineLevel="0" collapsed="false">
      <c r="A385" s="2" t="s">
        <v>1437</v>
      </c>
      <c r="B385" s="2" t="s">
        <v>912</v>
      </c>
      <c r="C385" s="2" t="s">
        <v>1043</v>
      </c>
      <c r="D385" s="2" t="s">
        <v>989</v>
      </c>
      <c r="E385" s="2" t="s">
        <v>424</v>
      </c>
      <c r="F385" s="2" t="n">
        <v>1</v>
      </c>
      <c r="G385" s="2" t="s">
        <v>1048</v>
      </c>
    </row>
    <row r="386" customFormat="false" ht="15" hidden="false" customHeight="false" outlineLevel="0" collapsed="false">
      <c r="A386" s="2" t="s">
        <v>1438</v>
      </c>
      <c r="B386" s="2" t="s">
        <v>912</v>
      </c>
      <c r="C386" s="2" t="s">
        <v>1052</v>
      </c>
      <c r="D386" s="2" t="s">
        <v>983</v>
      </c>
      <c r="E386" s="2" t="s">
        <v>227</v>
      </c>
      <c r="F386" s="2" t="n">
        <v>1</v>
      </c>
      <c r="G386" s="2" t="s">
        <v>1053</v>
      </c>
    </row>
    <row r="387" customFormat="false" ht="15" hidden="false" customHeight="false" outlineLevel="0" collapsed="false">
      <c r="A387" s="2" t="s">
        <v>1439</v>
      </c>
      <c r="B387" s="2" t="s">
        <v>912</v>
      </c>
      <c r="C387" s="2" t="s">
        <v>1052</v>
      </c>
      <c r="D387" s="2" t="s">
        <v>986</v>
      </c>
      <c r="E387" s="2" t="s">
        <v>227</v>
      </c>
      <c r="F387" s="2" t="n">
        <v>1</v>
      </c>
      <c r="G387" s="2" t="s">
        <v>1055</v>
      </c>
    </row>
    <row r="388" customFormat="false" ht="15" hidden="false" customHeight="false" outlineLevel="0" collapsed="false">
      <c r="A388" s="2" t="s">
        <v>1440</v>
      </c>
      <c r="B388" s="2" t="s">
        <v>912</v>
      </c>
      <c r="C388" s="2" t="s">
        <v>1052</v>
      </c>
      <c r="D388" s="2" t="s">
        <v>989</v>
      </c>
      <c r="E388" s="2" t="s">
        <v>239</v>
      </c>
      <c r="F388" s="2" t="n">
        <v>1</v>
      </c>
      <c r="G388" s="2" t="s">
        <v>1057</v>
      </c>
    </row>
    <row r="389" customFormat="false" ht="15" hidden="false" customHeight="false" outlineLevel="0" collapsed="false">
      <c r="A389" s="2" t="s">
        <v>1441</v>
      </c>
      <c r="B389" s="2" t="s">
        <v>912</v>
      </c>
      <c r="C389" s="2" t="s">
        <v>1128</v>
      </c>
      <c r="D389" s="2" t="s">
        <v>986</v>
      </c>
      <c r="E389" s="2" t="s">
        <v>412</v>
      </c>
      <c r="F389" s="2" t="n">
        <v>1</v>
      </c>
      <c r="G389" s="2" t="s">
        <v>1131</v>
      </c>
    </row>
    <row r="390" customFormat="false" ht="15" hidden="false" customHeight="false" outlineLevel="0" collapsed="false">
      <c r="A390" s="2" t="s">
        <v>1442</v>
      </c>
      <c r="B390" s="2" t="s">
        <v>912</v>
      </c>
      <c r="C390" s="2" t="s">
        <v>1128</v>
      </c>
      <c r="D390" s="2" t="s">
        <v>989</v>
      </c>
      <c r="E390" s="2" t="s">
        <v>341</v>
      </c>
      <c r="F390" s="2" t="n">
        <v>1</v>
      </c>
      <c r="G390" s="2" t="s">
        <v>1133</v>
      </c>
    </row>
    <row r="391" customFormat="false" ht="15" hidden="false" customHeight="false" outlineLevel="0" collapsed="false">
      <c r="A391" s="2" t="s">
        <v>1443</v>
      </c>
      <c r="B391" s="2" t="s">
        <v>912</v>
      </c>
      <c r="C391" s="2" t="s">
        <v>1128</v>
      </c>
      <c r="D391" s="2" t="s">
        <v>992</v>
      </c>
      <c r="E391" s="2" t="s">
        <v>335</v>
      </c>
      <c r="F391" s="2" t="n">
        <v>1</v>
      </c>
      <c r="G391" s="2" t="s">
        <v>1135</v>
      </c>
    </row>
    <row r="392" customFormat="false" ht="15" hidden="false" customHeight="false" outlineLevel="0" collapsed="false">
      <c r="A392" s="2" t="s">
        <v>1444</v>
      </c>
      <c r="B392" s="2" t="s">
        <v>912</v>
      </c>
      <c r="C392" s="2" t="s">
        <v>1061</v>
      </c>
      <c r="D392" s="2" t="s">
        <v>986</v>
      </c>
      <c r="E392" s="2" t="s">
        <v>369</v>
      </c>
      <c r="F392" s="2" t="n">
        <v>1</v>
      </c>
      <c r="G392" s="2" t="s">
        <v>1064</v>
      </c>
    </row>
    <row r="393" customFormat="false" ht="15" hidden="false" customHeight="false" outlineLevel="0" collapsed="false">
      <c r="A393" s="2" t="s">
        <v>1445</v>
      </c>
      <c r="B393" s="2" t="s">
        <v>912</v>
      </c>
      <c r="C393" s="2" t="s">
        <v>1061</v>
      </c>
      <c r="D393" s="2" t="s">
        <v>989</v>
      </c>
      <c r="E393" s="2" t="s">
        <v>250</v>
      </c>
      <c r="F393" s="2" t="n">
        <v>1</v>
      </c>
      <c r="G393" s="2" t="s">
        <v>1066</v>
      </c>
    </row>
    <row r="394" customFormat="false" ht="15" hidden="false" customHeight="false" outlineLevel="0" collapsed="false">
      <c r="A394" s="2" t="s">
        <v>1446</v>
      </c>
      <c r="B394" s="2" t="s">
        <v>912</v>
      </c>
      <c r="C394" s="2" t="s">
        <v>220</v>
      </c>
      <c r="D394" s="2" t="s">
        <v>983</v>
      </c>
      <c r="E394" s="2" t="s">
        <v>233</v>
      </c>
      <c r="F394" s="2" t="n">
        <v>1</v>
      </c>
      <c r="G394" s="2" t="s">
        <v>1076</v>
      </c>
    </row>
    <row r="395" customFormat="false" ht="15" hidden="false" customHeight="false" outlineLevel="0" collapsed="false">
      <c r="A395" s="2" t="s">
        <v>1447</v>
      </c>
      <c r="B395" s="2" t="s">
        <v>912</v>
      </c>
      <c r="C395" s="2" t="s">
        <v>220</v>
      </c>
      <c r="D395" s="2" t="s">
        <v>989</v>
      </c>
      <c r="E395" s="2" t="s">
        <v>448</v>
      </c>
      <c r="F395" s="2" t="n">
        <v>1</v>
      </c>
      <c r="G395" s="2" t="s">
        <v>1080</v>
      </c>
    </row>
    <row r="396" customFormat="false" ht="15" hidden="false" customHeight="false" outlineLevel="0" collapsed="false">
      <c r="A396" s="2" t="s">
        <v>1448</v>
      </c>
      <c r="B396" s="2" t="s">
        <v>912</v>
      </c>
      <c r="C396" s="2" t="s">
        <v>220</v>
      </c>
      <c r="D396" s="2" t="s">
        <v>992</v>
      </c>
      <c r="E396" s="2" t="s">
        <v>496</v>
      </c>
      <c r="F396" s="2" t="n">
        <v>1</v>
      </c>
      <c r="G396" s="2" t="s">
        <v>1082</v>
      </c>
    </row>
    <row r="397" customFormat="false" ht="15" hidden="false" customHeight="false" outlineLevel="0" collapsed="false">
      <c r="A397" s="2" t="s">
        <v>1449</v>
      </c>
      <c r="B397" s="2" t="s">
        <v>912</v>
      </c>
      <c r="C397" s="2" t="s">
        <v>220</v>
      </c>
      <c r="D397" s="2" t="s">
        <v>992</v>
      </c>
      <c r="E397" s="2" t="s">
        <v>459</v>
      </c>
      <c r="F397" s="2" t="n">
        <v>1</v>
      </c>
      <c r="G397" s="2" t="s">
        <v>1082</v>
      </c>
    </row>
    <row r="398" customFormat="false" ht="15" hidden="false" customHeight="false" outlineLevel="0" collapsed="false">
      <c r="A398" s="2" t="s">
        <v>1450</v>
      </c>
      <c r="B398" s="2" t="s">
        <v>915</v>
      </c>
      <c r="C398" s="2" t="s">
        <v>1085</v>
      </c>
      <c r="D398" s="2" t="s">
        <v>983</v>
      </c>
      <c r="E398" s="2" t="s">
        <v>221</v>
      </c>
      <c r="F398" s="2" t="n">
        <v>1</v>
      </c>
      <c r="G398" s="2" t="s">
        <v>1086</v>
      </c>
    </row>
    <row r="399" customFormat="false" ht="15" hidden="false" customHeight="false" outlineLevel="0" collapsed="false">
      <c r="A399" s="2" t="s">
        <v>1451</v>
      </c>
      <c r="B399" s="2" t="s">
        <v>915</v>
      </c>
      <c r="C399" s="2" t="s">
        <v>1085</v>
      </c>
      <c r="D399" s="2" t="s">
        <v>986</v>
      </c>
      <c r="E399" s="2" t="s">
        <v>262</v>
      </c>
      <c r="F399" s="2" t="n">
        <v>1</v>
      </c>
      <c r="G399" s="2" t="s">
        <v>1088</v>
      </c>
    </row>
    <row r="400" customFormat="false" ht="15" hidden="false" customHeight="false" outlineLevel="0" collapsed="false">
      <c r="A400" s="2" t="s">
        <v>1452</v>
      </c>
      <c r="B400" s="2" t="s">
        <v>915</v>
      </c>
      <c r="C400" s="2" t="s">
        <v>1085</v>
      </c>
      <c r="D400" s="2" t="s">
        <v>989</v>
      </c>
      <c r="E400" s="2" t="s">
        <v>347</v>
      </c>
      <c r="F400" s="2" t="n">
        <v>1</v>
      </c>
      <c r="G400" s="2" t="s">
        <v>1090</v>
      </c>
    </row>
    <row r="401" customFormat="false" ht="15" hidden="false" customHeight="false" outlineLevel="0" collapsed="false">
      <c r="A401" s="2" t="s">
        <v>1453</v>
      </c>
      <c r="B401" s="2" t="s">
        <v>915</v>
      </c>
      <c r="C401" s="2" t="s">
        <v>1085</v>
      </c>
      <c r="D401" s="2" t="s">
        <v>992</v>
      </c>
      <c r="E401" s="2" t="s">
        <v>335</v>
      </c>
      <c r="F401" s="2" t="n">
        <v>1</v>
      </c>
      <c r="G401" s="2" t="s">
        <v>1092</v>
      </c>
    </row>
    <row r="402" customFormat="false" ht="15" hidden="false" customHeight="false" outlineLevel="0" collapsed="false">
      <c r="A402" s="2" t="s">
        <v>1454</v>
      </c>
      <c r="B402" s="2" t="s">
        <v>915</v>
      </c>
      <c r="C402" s="2" t="s">
        <v>1085</v>
      </c>
      <c r="D402" s="2" t="s">
        <v>992</v>
      </c>
      <c r="E402" s="2" t="s">
        <v>466</v>
      </c>
      <c r="F402" s="2" t="n">
        <v>1</v>
      </c>
      <c r="G402" s="2" t="s">
        <v>1092</v>
      </c>
    </row>
    <row r="403" customFormat="false" ht="15" hidden="false" customHeight="false" outlineLevel="0" collapsed="false">
      <c r="A403" s="2" t="s">
        <v>1455</v>
      </c>
      <c r="B403" s="2" t="s">
        <v>915</v>
      </c>
      <c r="C403" s="2" t="s">
        <v>996</v>
      </c>
      <c r="D403" s="2" t="s">
        <v>983</v>
      </c>
      <c r="E403" s="2" t="s">
        <v>256</v>
      </c>
      <c r="F403" s="2" t="n">
        <v>1</v>
      </c>
      <c r="G403" s="2" t="s">
        <v>997</v>
      </c>
    </row>
    <row r="404" customFormat="false" ht="15" hidden="false" customHeight="false" outlineLevel="0" collapsed="false">
      <c r="A404" s="2" t="s">
        <v>1456</v>
      </c>
      <c r="B404" s="2" t="s">
        <v>915</v>
      </c>
      <c r="C404" s="2" t="s">
        <v>996</v>
      </c>
      <c r="D404" s="2" t="s">
        <v>986</v>
      </c>
      <c r="E404" s="2" t="s">
        <v>357</v>
      </c>
      <c r="F404" s="2" t="n">
        <v>1</v>
      </c>
      <c r="G404" s="2" t="s">
        <v>999</v>
      </c>
    </row>
    <row r="405" customFormat="false" ht="15" hidden="false" customHeight="false" outlineLevel="0" collapsed="false">
      <c r="A405" s="2" t="s">
        <v>1457</v>
      </c>
      <c r="B405" s="2" t="s">
        <v>915</v>
      </c>
      <c r="C405" s="2" t="s">
        <v>996</v>
      </c>
      <c r="D405" s="2" t="s">
        <v>989</v>
      </c>
      <c r="E405" s="2" t="s">
        <v>442</v>
      </c>
      <c r="F405" s="2" t="n">
        <v>1</v>
      </c>
      <c r="G405" s="2" t="s">
        <v>1001</v>
      </c>
    </row>
    <row r="406" customFormat="false" ht="15" hidden="false" customHeight="false" outlineLevel="0" collapsed="false">
      <c r="A406" s="2" t="s">
        <v>1458</v>
      </c>
      <c r="B406" s="2" t="s">
        <v>915</v>
      </c>
      <c r="C406" s="2" t="s">
        <v>996</v>
      </c>
      <c r="D406" s="2" t="s">
        <v>992</v>
      </c>
      <c r="E406" s="2" t="s">
        <v>496</v>
      </c>
      <c r="F406" s="2" t="n">
        <v>1</v>
      </c>
      <c r="G406" s="2" t="s">
        <v>1156</v>
      </c>
    </row>
    <row r="407" customFormat="false" ht="15" hidden="false" customHeight="false" outlineLevel="0" collapsed="false">
      <c r="A407" s="2" t="s">
        <v>1459</v>
      </c>
      <c r="B407" s="2" t="s">
        <v>915</v>
      </c>
      <c r="C407" s="2" t="s">
        <v>1003</v>
      </c>
      <c r="D407" s="2" t="s">
        <v>983</v>
      </c>
      <c r="E407" s="2" t="s">
        <v>280</v>
      </c>
      <c r="F407" s="2" t="n">
        <v>1</v>
      </c>
      <c r="G407" s="2" t="s">
        <v>1004</v>
      </c>
    </row>
    <row r="408" customFormat="false" ht="15" hidden="false" customHeight="false" outlineLevel="0" collapsed="false">
      <c r="A408" s="2" t="s">
        <v>1460</v>
      </c>
      <c r="B408" s="2" t="s">
        <v>915</v>
      </c>
      <c r="C408" s="2" t="s">
        <v>1003</v>
      </c>
      <c r="D408" s="2" t="s">
        <v>986</v>
      </c>
      <c r="E408" s="2" t="s">
        <v>256</v>
      </c>
      <c r="F408" s="2" t="n">
        <v>1</v>
      </c>
      <c r="G408" s="2" t="s">
        <v>1006</v>
      </c>
    </row>
    <row r="409" customFormat="false" ht="15" hidden="false" customHeight="false" outlineLevel="0" collapsed="false">
      <c r="A409" s="2" t="s">
        <v>1461</v>
      </c>
      <c r="B409" s="2" t="s">
        <v>915</v>
      </c>
      <c r="C409" s="2" t="s">
        <v>1003</v>
      </c>
      <c r="D409" s="2" t="s">
        <v>989</v>
      </c>
      <c r="E409" s="2" t="s">
        <v>292</v>
      </c>
      <c r="F409" s="2" t="n">
        <v>1</v>
      </c>
      <c r="G409" s="2" t="s">
        <v>1008</v>
      </c>
    </row>
    <row r="410" customFormat="false" ht="15" hidden="false" customHeight="false" outlineLevel="0" collapsed="false">
      <c r="A410" s="2" t="s">
        <v>1462</v>
      </c>
      <c r="B410" s="2" t="s">
        <v>915</v>
      </c>
      <c r="C410" s="2" t="s">
        <v>1003</v>
      </c>
      <c r="D410" s="2" t="s">
        <v>992</v>
      </c>
      <c r="E410" s="2" t="s">
        <v>369</v>
      </c>
      <c r="F410" s="2" t="n">
        <v>1</v>
      </c>
      <c r="G410" s="2" t="s">
        <v>1103</v>
      </c>
    </row>
    <row r="411" customFormat="false" ht="15" hidden="false" customHeight="false" outlineLevel="0" collapsed="false">
      <c r="A411" s="2" t="s">
        <v>1463</v>
      </c>
      <c r="B411" s="2" t="s">
        <v>915</v>
      </c>
      <c r="C411" s="2" t="s">
        <v>1010</v>
      </c>
      <c r="D411" s="2" t="s">
        <v>986</v>
      </c>
      <c r="E411" s="2" t="s">
        <v>268</v>
      </c>
      <c r="F411" s="2" t="n">
        <v>1</v>
      </c>
      <c r="G411" s="2" t="s">
        <v>1013</v>
      </c>
    </row>
    <row r="412" customFormat="false" ht="15" hidden="false" customHeight="false" outlineLevel="0" collapsed="false">
      <c r="A412" s="2" t="s">
        <v>1464</v>
      </c>
      <c r="B412" s="2" t="s">
        <v>915</v>
      </c>
      <c r="C412" s="2" t="s">
        <v>1010</v>
      </c>
      <c r="D412" s="2" t="s">
        <v>989</v>
      </c>
      <c r="E412" s="2" t="s">
        <v>292</v>
      </c>
      <c r="F412" s="2" t="n">
        <v>1</v>
      </c>
      <c r="G412" s="2" t="s">
        <v>1015</v>
      </c>
    </row>
    <row r="413" customFormat="false" ht="15" hidden="false" customHeight="false" outlineLevel="0" collapsed="false">
      <c r="A413" s="2" t="s">
        <v>1465</v>
      </c>
      <c r="B413" s="2" t="s">
        <v>915</v>
      </c>
      <c r="C413" s="2" t="s">
        <v>1010</v>
      </c>
      <c r="D413" s="2" t="s">
        <v>992</v>
      </c>
      <c r="E413" s="2" t="s">
        <v>477</v>
      </c>
      <c r="F413" s="2" t="n">
        <v>1</v>
      </c>
      <c r="G413" s="2" t="s">
        <v>1017</v>
      </c>
    </row>
    <row r="414" customFormat="false" ht="15" hidden="false" customHeight="false" outlineLevel="0" collapsed="false">
      <c r="A414" s="2" t="s">
        <v>1466</v>
      </c>
      <c r="B414" s="2" t="s">
        <v>915</v>
      </c>
      <c r="C414" s="2" t="s">
        <v>1019</v>
      </c>
      <c r="D414" s="2" t="s">
        <v>986</v>
      </c>
      <c r="E414" s="2" t="s">
        <v>250</v>
      </c>
      <c r="F414" s="2" t="n">
        <v>1</v>
      </c>
      <c r="G414" s="2" t="s">
        <v>1020</v>
      </c>
    </row>
    <row r="415" customFormat="false" ht="15" hidden="false" customHeight="false" outlineLevel="0" collapsed="false">
      <c r="A415" s="2" t="s">
        <v>1467</v>
      </c>
      <c r="B415" s="2" t="s">
        <v>915</v>
      </c>
      <c r="C415" s="2" t="s">
        <v>1019</v>
      </c>
      <c r="D415" s="2" t="s">
        <v>989</v>
      </c>
      <c r="E415" s="2" t="s">
        <v>221</v>
      </c>
      <c r="F415" s="2" t="n">
        <v>1</v>
      </c>
      <c r="G415" s="2" t="s">
        <v>1022</v>
      </c>
    </row>
    <row r="416" customFormat="false" ht="15" hidden="false" customHeight="false" outlineLevel="0" collapsed="false">
      <c r="A416" s="2" t="s">
        <v>1468</v>
      </c>
      <c r="B416" s="2" t="s">
        <v>915</v>
      </c>
      <c r="C416" s="2" t="s">
        <v>1026</v>
      </c>
      <c r="D416" s="2" t="s">
        <v>983</v>
      </c>
      <c r="E416" s="2" t="s">
        <v>369</v>
      </c>
      <c r="F416" s="2" t="n">
        <v>1</v>
      </c>
      <c r="G416" s="2" t="s">
        <v>1027</v>
      </c>
    </row>
    <row r="417" customFormat="false" ht="15" hidden="false" customHeight="false" outlineLevel="0" collapsed="false">
      <c r="A417" s="2" t="s">
        <v>1469</v>
      </c>
      <c r="B417" s="2" t="s">
        <v>915</v>
      </c>
      <c r="C417" s="2" t="s">
        <v>1026</v>
      </c>
      <c r="D417" s="2" t="s">
        <v>986</v>
      </c>
      <c r="E417" s="2" t="s">
        <v>392</v>
      </c>
      <c r="F417" s="2" t="n">
        <v>1</v>
      </c>
      <c r="G417" s="2" t="s">
        <v>1029</v>
      </c>
    </row>
    <row r="418" customFormat="false" ht="15" hidden="false" customHeight="false" outlineLevel="0" collapsed="false">
      <c r="A418" s="2" t="s">
        <v>1470</v>
      </c>
      <c r="B418" s="2" t="s">
        <v>915</v>
      </c>
      <c r="C418" s="2" t="s">
        <v>1026</v>
      </c>
      <c r="D418" s="2" t="s">
        <v>989</v>
      </c>
      <c r="E418" s="2" t="s">
        <v>430</v>
      </c>
      <c r="F418" s="2" t="n">
        <v>1</v>
      </c>
      <c r="G418" s="2" t="s">
        <v>1031</v>
      </c>
    </row>
    <row r="419" customFormat="false" ht="15" hidden="false" customHeight="false" outlineLevel="0" collapsed="false">
      <c r="A419" s="2" t="s">
        <v>1471</v>
      </c>
      <c r="B419" s="2" t="s">
        <v>915</v>
      </c>
      <c r="C419" s="2" t="s">
        <v>1026</v>
      </c>
      <c r="D419" s="2" t="s">
        <v>992</v>
      </c>
      <c r="E419" s="2" t="s">
        <v>466</v>
      </c>
      <c r="F419" s="2" t="n">
        <v>1</v>
      </c>
      <c r="G419" s="2" t="s">
        <v>1114</v>
      </c>
    </row>
    <row r="420" customFormat="false" ht="15" hidden="false" customHeight="false" outlineLevel="0" collapsed="false">
      <c r="A420" s="2" t="s">
        <v>1472</v>
      </c>
      <c r="B420" s="2" t="s">
        <v>915</v>
      </c>
      <c r="C420" s="2" t="s">
        <v>1033</v>
      </c>
      <c r="D420" s="2" t="s">
        <v>983</v>
      </c>
      <c r="E420" s="2" t="s">
        <v>211</v>
      </c>
      <c r="F420" s="2" t="n">
        <v>1</v>
      </c>
      <c r="G420" s="2" t="s">
        <v>1034</v>
      </c>
    </row>
    <row r="421" customFormat="false" ht="15" hidden="false" customHeight="false" outlineLevel="0" collapsed="false">
      <c r="A421" s="2" t="s">
        <v>1473</v>
      </c>
      <c r="B421" s="2" t="s">
        <v>915</v>
      </c>
      <c r="C421" s="2" t="s">
        <v>1033</v>
      </c>
      <c r="D421" s="2" t="s">
        <v>986</v>
      </c>
      <c r="E421" s="2" t="s">
        <v>347</v>
      </c>
      <c r="F421" s="2" t="n">
        <v>1</v>
      </c>
      <c r="G421" s="2" t="s">
        <v>1036</v>
      </c>
    </row>
    <row r="422" customFormat="false" ht="15" hidden="false" customHeight="false" outlineLevel="0" collapsed="false">
      <c r="A422" s="2" t="s">
        <v>1474</v>
      </c>
      <c r="B422" s="2" t="s">
        <v>915</v>
      </c>
      <c r="C422" s="2" t="s">
        <v>1033</v>
      </c>
      <c r="D422" s="2" t="s">
        <v>989</v>
      </c>
      <c r="E422" s="2" t="s">
        <v>268</v>
      </c>
      <c r="F422" s="2" t="n">
        <v>1</v>
      </c>
      <c r="G422" s="2" t="s">
        <v>1038</v>
      </c>
    </row>
    <row r="423" customFormat="false" ht="15" hidden="false" customHeight="false" outlineLevel="0" collapsed="false">
      <c r="A423" s="2" t="s">
        <v>1475</v>
      </c>
      <c r="B423" s="2" t="s">
        <v>915</v>
      </c>
      <c r="C423" s="2" t="s">
        <v>1033</v>
      </c>
      <c r="D423" s="2" t="s">
        <v>992</v>
      </c>
      <c r="E423" s="2" t="s">
        <v>459</v>
      </c>
      <c r="F423" s="2" t="n">
        <v>1</v>
      </c>
      <c r="G423" s="2" t="s">
        <v>1040</v>
      </c>
    </row>
    <row r="424" customFormat="false" ht="15" hidden="false" customHeight="false" outlineLevel="0" collapsed="false">
      <c r="A424" s="2" t="s">
        <v>1476</v>
      </c>
      <c r="B424" s="2" t="s">
        <v>915</v>
      </c>
      <c r="C424" s="2" t="s">
        <v>1033</v>
      </c>
      <c r="D424" s="2" t="s">
        <v>992</v>
      </c>
      <c r="E424" s="2" t="s">
        <v>484</v>
      </c>
      <c r="F424" s="2" t="n">
        <v>1</v>
      </c>
      <c r="G424" s="2" t="s">
        <v>1040</v>
      </c>
    </row>
    <row r="425" customFormat="false" ht="15" hidden="false" customHeight="false" outlineLevel="0" collapsed="false">
      <c r="A425" s="2" t="s">
        <v>1477</v>
      </c>
      <c r="B425" s="2" t="s">
        <v>915</v>
      </c>
      <c r="C425" s="2" t="s">
        <v>1033</v>
      </c>
      <c r="D425" s="2" t="s">
        <v>992</v>
      </c>
      <c r="E425" s="2" t="s">
        <v>459</v>
      </c>
      <c r="F425" s="2" t="n">
        <v>1</v>
      </c>
      <c r="G425" s="2" t="s">
        <v>1040</v>
      </c>
    </row>
    <row r="426" customFormat="false" ht="15" hidden="false" customHeight="false" outlineLevel="0" collapsed="false">
      <c r="A426" s="2" t="s">
        <v>1478</v>
      </c>
      <c r="B426" s="2" t="s">
        <v>915</v>
      </c>
      <c r="C426" s="2" t="s">
        <v>1043</v>
      </c>
      <c r="D426" s="2" t="s">
        <v>983</v>
      </c>
      <c r="E426" s="2" t="s">
        <v>262</v>
      </c>
      <c r="F426" s="2" t="n">
        <v>1</v>
      </c>
      <c r="G426" s="2" t="s">
        <v>1044</v>
      </c>
    </row>
    <row r="427" customFormat="false" ht="15" hidden="false" customHeight="false" outlineLevel="0" collapsed="false">
      <c r="A427" s="2" t="s">
        <v>1479</v>
      </c>
      <c r="B427" s="2" t="s">
        <v>915</v>
      </c>
      <c r="C427" s="2" t="s">
        <v>1043</v>
      </c>
      <c r="D427" s="2" t="s">
        <v>986</v>
      </c>
      <c r="E427" s="2" t="s">
        <v>298</v>
      </c>
      <c r="F427" s="2" t="n">
        <v>1</v>
      </c>
      <c r="G427" s="2" t="s">
        <v>1046</v>
      </c>
    </row>
    <row r="428" customFormat="false" ht="15" hidden="false" customHeight="false" outlineLevel="0" collapsed="false">
      <c r="A428" s="2" t="s">
        <v>1480</v>
      </c>
      <c r="B428" s="2" t="s">
        <v>915</v>
      </c>
      <c r="C428" s="2" t="s">
        <v>1043</v>
      </c>
      <c r="D428" s="2" t="s">
        <v>989</v>
      </c>
      <c r="E428" s="2" t="s">
        <v>335</v>
      </c>
      <c r="F428" s="2" t="n">
        <v>1</v>
      </c>
      <c r="G428" s="2" t="s">
        <v>1048</v>
      </c>
    </row>
    <row r="429" customFormat="false" ht="15" hidden="false" customHeight="false" outlineLevel="0" collapsed="false">
      <c r="A429" s="2" t="s">
        <v>1481</v>
      </c>
      <c r="B429" s="2" t="s">
        <v>915</v>
      </c>
      <c r="C429" s="2" t="s">
        <v>1043</v>
      </c>
      <c r="D429" s="2" t="s">
        <v>992</v>
      </c>
      <c r="E429" s="2" t="s">
        <v>335</v>
      </c>
      <c r="F429" s="2" t="n">
        <v>1</v>
      </c>
      <c r="G429" s="2" t="s">
        <v>1050</v>
      </c>
    </row>
    <row r="430" customFormat="false" ht="15" hidden="false" customHeight="false" outlineLevel="0" collapsed="false">
      <c r="A430" s="2" t="s">
        <v>1482</v>
      </c>
      <c r="B430" s="2" t="s">
        <v>915</v>
      </c>
      <c r="C430" s="2" t="s">
        <v>1128</v>
      </c>
      <c r="D430" s="2" t="s">
        <v>983</v>
      </c>
      <c r="E430" s="2" t="s">
        <v>335</v>
      </c>
      <c r="F430" s="2" t="n">
        <v>1</v>
      </c>
      <c r="G430" s="2" t="s">
        <v>1129</v>
      </c>
    </row>
    <row r="431" customFormat="false" ht="15" hidden="false" customHeight="false" outlineLevel="0" collapsed="false">
      <c r="A431" s="2" t="s">
        <v>1483</v>
      </c>
      <c r="B431" s="2" t="s">
        <v>915</v>
      </c>
      <c r="C431" s="2" t="s">
        <v>1128</v>
      </c>
      <c r="D431" s="2" t="s">
        <v>986</v>
      </c>
      <c r="E431" s="2" t="s">
        <v>363</v>
      </c>
      <c r="F431" s="2" t="n">
        <v>1</v>
      </c>
      <c r="G431" s="2" t="s">
        <v>1131</v>
      </c>
    </row>
    <row r="432" customFormat="false" ht="15" hidden="false" customHeight="false" outlineLevel="0" collapsed="false">
      <c r="A432" s="2" t="s">
        <v>1484</v>
      </c>
      <c r="B432" s="2" t="s">
        <v>915</v>
      </c>
      <c r="C432" s="2" t="s">
        <v>1128</v>
      </c>
      <c r="D432" s="2" t="s">
        <v>989</v>
      </c>
      <c r="E432" s="2" t="s">
        <v>280</v>
      </c>
      <c r="F432" s="2" t="n">
        <v>1</v>
      </c>
      <c r="G432" s="2" t="s">
        <v>1133</v>
      </c>
    </row>
    <row r="433" customFormat="false" ht="15" hidden="false" customHeight="false" outlineLevel="0" collapsed="false">
      <c r="A433" s="2" t="s">
        <v>1485</v>
      </c>
      <c r="B433" s="2" t="s">
        <v>915</v>
      </c>
      <c r="C433" s="2" t="s">
        <v>1128</v>
      </c>
      <c r="D433" s="2" t="s">
        <v>992</v>
      </c>
      <c r="E433" s="2" t="s">
        <v>490</v>
      </c>
      <c r="F433" s="2" t="n">
        <v>1</v>
      </c>
      <c r="G433" s="2" t="s">
        <v>1135</v>
      </c>
    </row>
    <row r="434" customFormat="false" ht="15" hidden="false" customHeight="false" outlineLevel="0" collapsed="false">
      <c r="A434" s="2" t="s">
        <v>1486</v>
      </c>
      <c r="B434" s="2" t="s">
        <v>915</v>
      </c>
      <c r="C434" s="2" t="s">
        <v>1128</v>
      </c>
      <c r="D434" s="2" t="s">
        <v>992</v>
      </c>
      <c r="E434" s="2" t="s">
        <v>466</v>
      </c>
      <c r="F434" s="2" t="n">
        <v>1</v>
      </c>
      <c r="G434" s="2" t="s">
        <v>1135</v>
      </c>
    </row>
    <row r="435" customFormat="false" ht="15" hidden="false" customHeight="false" outlineLevel="0" collapsed="false">
      <c r="A435" s="2" t="s">
        <v>1487</v>
      </c>
      <c r="B435" s="2" t="s">
        <v>915</v>
      </c>
      <c r="C435" s="2" t="s">
        <v>1061</v>
      </c>
      <c r="D435" s="2" t="s">
        <v>986</v>
      </c>
      <c r="E435" s="2" t="s">
        <v>286</v>
      </c>
      <c r="F435" s="2" t="n">
        <v>1</v>
      </c>
      <c r="G435" s="2" t="s">
        <v>1064</v>
      </c>
    </row>
    <row r="436" customFormat="false" ht="15" hidden="false" customHeight="false" outlineLevel="0" collapsed="false">
      <c r="A436" s="2" t="s">
        <v>1488</v>
      </c>
      <c r="B436" s="2" t="s">
        <v>915</v>
      </c>
      <c r="C436" s="2" t="s">
        <v>1061</v>
      </c>
      <c r="D436" s="2" t="s">
        <v>989</v>
      </c>
      <c r="E436" s="2" t="s">
        <v>442</v>
      </c>
      <c r="F436" s="2" t="n">
        <v>1</v>
      </c>
      <c r="G436" s="2" t="s">
        <v>1066</v>
      </c>
    </row>
    <row r="437" customFormat="false" ht="15" hidden="false" customHeight="false" outlineLevel="0" collapsed="false">
      <c r="A437" s="2" t="s">
        <v>1489</v>
      </c>
      <c r="B437" s="2" t="s">
        <v>915</v>
      </c>
      <c r="C437" s="2" t="s">
        <v>1061</v>
      </c>
      <c r="D437" s="2" t="s">
        <v>992</v>
      </c>
      <c r="E437" s="2" t="s">
        <v>369</v>
      </c>
      <c r="F437" s="2" t="n">
        <v>1</v>
      </c>
      <c r="G437" s="2" t="s">
        <v>1068</v>
      </c>
    </row>
    <row r="438" customFormat="false" ht="15" hidden="false" customHeight="false" outlineLevel="0" collapsed="false">
      <c r="A438" s="2" t="s">
        <v>1490</v>
      </c>
      <c r="B438" s="2" t="s">
        <v>915</v>
      </c>
      <c r="C438" s="2" t="s">
        <v>1061</v>
      </c>
      <c r="D438" s="2" t="s">
        <v>992</v>
      </c>
      <c r="E438" s="2" t="s">
        <v>484</v>
      </c>
      <c r="F438" s="2" t="n">
        <v>1</v>
      </c>
      <c r="G438" s="2" t="s">
        <v>1068</v>
      </c>
    </row>
    <row r="439" customFormat="false" ht="15" hidden="false" customHeight="false" outlineLevel="0" collapsed="false">
      <c r="A439" s="2" t="s">
        <v>1491</v>
      </c>
      <c r="B439" s="2" t="s">
        <v>915</v>
      </c>
      <c r="C439" s="2" t="s">
        <v>1061</v>
      </c>
      <c r="D439" s="2" t="s">
        <v>992</v>
      </c>
      <c r="E439" s="2" t="s">
        <v>459</v>
      </c>
      <c r="F439" s="2" t="n">
        <v>1</v>
      </c>
      <c r="G439" s="2" t="s">
        <v>1068</v>
      </c>
    </row>
    <row r="440" customFormat="false" ht="15" hidden="false" customHeight="false" outlineLevel="0" collapsed="false">
      <c r="A440" s="2" t="s">
        <v>1492</v>
      </c>
      <c r="B440" s="2" t="s">
        <v>915</v>
      </c>
      <c r="C440" s="2" t="s">
        <v>1071</v>
      </c>
      <c r="D440" s="2" t="s">
        <v>983</v>
      </c>
      <c r="E440" s="2" t="s">
        <v>239</v>
      </c>
      <c r="F440" s="2" t="n">
        <v>1</v>
      </c>
      <c r="G440" s="2" t="s">
        <v>1138</v>
      </c>
    </row>
    <row r="441" customFormat="false" ht="15" hidden="false" customHeight="false" outlineLevel="0" collapsed="false">
      <c r="A441" s="2" t="s">
        <v>1493</v>
      </c>
      <c r="B441" s="2" t="s">
        <v>915</v>
      </c>
      <c r="C441" s="2" t="s">
        <v>1071</v>
      </c>
      <c r="D441" s="2" t="s">
        <v>986</v>
      </c>
      <c r="E441" s="2" t="s">
        <v>317</v>
      </c>
      <c r="F441" s="2" t="n">
        <v>1</v>
      </c>
      <c r="G441" s="2" t="s">
        <v>1072</v>
      </c>
    </row>
    <row r="442" customFormat="false" ht="15" hidden="false" customHeight="false" outlineLevel="0" collapsed="false">
      <c r="A442" s="2" t="s">
        <v>1494</v>
      </c>
      <c r="B442" s="2" t="s">
        <v>915</v>
      </c>
      <c r="C442" s="2" t="s">
        <v>1071</v>
      </c>
      <c r="D442" s="2" t="s">
        <v>989</v>
      </c>
      <c r="E442" s="2" t="s">
        <v>418</v>
      </c>
      <c r="F442" s="2" t="n">
        <v>1</v>
      </c>
      <c r="G442" s="2" t="s">
        <v>1074</v>
      </c>
    </row>
    <row r="443" customFormat="false" ht="15" hidden="false" customHeight="false" outlineLevel="0" collapsed="false">
      <c r="A443" s="2" t="s">
        <v>1495</v>
      </c>
      <c r="B443" s="2" t="s">
        <v>915</v>
      </c>
      <c r="C443" s="2" t="s">
        <v>220</v>
      </c>
      <c r="D443" s="2" t="s">
        <v>983</v>
      </c>
      <c r="E443" s="2" t="s">
        <v>329</v>
      </c>
      <c r="F443" s="2" t="n">
        <v>1</v>
      </c>
      <c r="G443" s="2" t="s">
        <v>1076</v>
      </c>
    </row>
    <row r="444" customFormat="false" ht="15" hidden="false" customHeight="false" outlineLevel="0" collapsed="false">
      <c r="A444" s="2" t="s">
        <v>1496</v>
      </c>
      <c r="B444" s="2" t="s">
        <v>915</v>
      </c>
      <c r="C444" s="2" t="s">
        <v>220</v>
      </c>
      <c r="D444" s="2" t="s">
        <v>986</v>
      </c>
      <c r="E444" s="2" t="s">
        <v>250</v>
      </c>
      <c r="F444" s="2" t="n">
        <v>1</v>
      </c>
      <c r="G444" s="2" t="s">
        <v>1078</v>
      </c>
    </row>
    <row r="445" customFormat="false" ht="15" hidden="false" customHeight="false" outlineLevel="0" collapsed="false">
      <c r="A445" s="2" t="s">
        <v>1497</v>
      </c>
      <c r="B445" s="2" t="s">
        <v>915</v>
      </c>
      <c r="C445" s="2" t="s">
        <v>220</v>
      </c>
      <c r="D445" s="2" t="s">
        <v>989</v>
      </c>
      <c r="E445" s="2" t="s">
        <v>233</v>
      </c>
      <c r="F445" s="2" t="n">
        <v>1</v>
      </c>
      <c r="G445" s="2" t="s">
        <v>1080</v>
      </c>
    </row>
    <row r="446" customFormat="false" ht="15" hidden="false" customHeight="false" outlineLevel="0" collapsed="false">
      <c r="A446" s="2" t="s">
        <v>1498</v>
      </c>
      <c r="B446" s="2" t="s">
        <v>918</v>
      </c>
      <c r="C446" s="2" t="s">
        <v>1085</v>
      </c>
      <c r="D446" s="2" t="s">
        <v>983</v>
      </c>
      <c r="E446" s="2" t="s">
        <v>304</v>
      </c>
      <c r="F446" s="2" t="n">
        <v>1</v>
      </c>
      <c r="G446" s="2" t="s">
        <v>1086</v>
      </c>
    </row>
    <row r="447" customFormat="false" ht="15" hidden="false" customHeight="false" outlineLevel="0" collapsed="false">
      <c r="A447" s="2" t="s">
        <v>1499</v>
      </c>
      <c r="B447" s="2" t="s">
        <v>918</v>
      </c>
      <c r="C447" s="2" t="s">
        <v>1085</v>
      </c>
      <c r="D447" s="2" t="s">
        <v>986</v>
      </c>
      <c r="E447" s="2" t="s">
        <v>329</v>
      </c>
      <c r="F447" s="2" t="n">
        <v>1</v>
      </c>
      <c r="G447" s="2" t="s">
        <v>1088</v>
      </c>
    </row>
    <row r="448" customFormat="false" ht="15" hidden="false" customHeight="false" outlineLevel="0" collapsed="false">
      <c r="A448" s="2" t="s">
        <v>1500</v>
      </c>
      <c r="B448" s="2" t="s">
        <v>918</v>
      </c>
      <c r="C448" s="2" t="s">
        <v>1085</v>
      </c>
      <c r="D448" s="2" t="s">
        <v>989</v>
      </c>
      <c r="E448" s="2" t="s">
        <v>430</v>
      </c>
      <c r="F448" s="2" t="n">
        <v>1</v>
      </c>
      <c r="G448" s="2" t="s">
        <v>1090</v>
      </c>
    </row>
    <row r="449" customFormat="false" ht="15" hidden="false" customHeight="false" outlineLevel="0" collapsed="false">
      <c r="A449" s="2" t="s">
        <v>1501</v>
      </c>
      <c r="B449" s="2" t="s">
        <v>918</v>
      </c>
      <c r="C449" s="2" t="s">
        <v>982</v>
      </c>
      <c r="D449" s="2" t="s">
        <v>986</v>
      </c>
      <c r="E449" s="2" t="s">
        <v>323</v>
      </c>
      <c r="F449" s="2" t="n">
        <v>1</v>
      </c>
      <c r="G449" s="2" t="s">
        <v>987</v>
      </c>
    </row>
    <row r="450" customFormat="false" ht="15" hidden="false" customHeight="false" outlineLevel="0" collapsed="false">
      <c r="A450" s="2" t="s">
        <v>1502</v>
      </c>
      <c r="B450" s="2" t="s">
        <v>918</v>
      </c>
      <c r="C450" s="2" t="s">
        <v>982</v>
      </c>
      <c r="D450" s="2" t="s">
        <v>992</v>
      </c>
      <c r="E450" s="2" t="s">
        <v>466</v>
      </c>
      <c r="F450" s="2" t="n">
        <v>1</v>
      </c>
      <c r="G450" s="2" t="s">
        <v>993</v>
      </c>
    </row>
    <row r="451" customFormat="false" ht="15" hidden="false" customHeight="false" outlineLevel="0" collapsed="false">
      <c r="A451" s="2" t="s">
        <v>1503</v>
      </c>
      <c r="B451" s="2" t="s">
        <v>918</v>
      </c>
      <c r="C451" s="2" t="s">
        <v>982</v>
      </c>
      <c r="D451" s="2" t="s">
        <v>992</v>
      </c>
      <c r="E451" s="2" t="s">
        <v>472</v>
      </c>
      <c r="F451" s="2" t="n">
        <v>1</v>
      </c>
      <c r="G451" s="2" t="s">
        <v>993</v>
      </c>
    </row>
    <row r="452" customFormat="false" ht="15" hidden="false" customHeight="false" outlineLevel="0" collapsed="false">
      <c r="A452" s="2" t="s">
        <v>1504</v>
      </c>
      <c r="B452" s="2" t="s">
        <v>918</v>
      </c>
      <c r="C452" s="2" t="s">
        <v>982</v>
      </c>
      <c r="D452" s="2" t="s">
        <v>992</v>
      </c>
      <c r="E452" s="2" t="s">
        <v>484</v>
      </c>
      <c r="F452" s="2" t="n">
        <v>1</v>
      </c>
      <c r="G452" s="2" t="s">
        <v>993</v>
      </c>
    </row>
    <row r="453" customFormat="false" ht="15" hidden="false" customHeight="false" outlineLevel="0" collapsed="false">
      <c r="A453" s="2" t="s">
        <v>1505</v>
      </c>
      <c r="B453" s="2" t="s">
        <v>918</v>
      </c>
      <c r="C453" s="2" t="s">
        <v>982</v>
      </c>
      <c r="D453" s="2" t="s">
        <v>992</v>
      </c>
      <c r="E453" s="2" t="s">
        <v>459</v>
      </c>
      <c r="F453" s="2" t="n">
        <v>1</v>
      </c>
      <c r="G453" s="2" t="s">
        <v>993</v>
      </c>
    </row>
    <row r="454" customFormat="false" ht="15" hidden="false" customHeight="false" outlineLevel="0" collapsed="false">
      <c r="A454" s="2" t="s">
        <v>1506</v>
      </c>
      <c r="B454" s="2" t="s">
        <v>918</v>
      </c>
      <c r="C454" s="2" t="s">
        <v>996</v>
      </c>
      <c r="D454" s="2" t="s">
        <v>983</v>
      </c>
      <c r="E454" s="2" t="s">
        <v>317</v>
      </c>
      <c r="F454" s="2" t="n">
        <v>1</v>
      </c>
      <c r="G454" s="2" t="s">
        <v>997</v>
      </c>
    </row>
    <row r="455" customFormat="false" ht="15" hidden="false" customHeight="false" outlineLevel="0" collapsed="false">
      <c r="A455" s="2" t="s">
        <v>1507</v>
      </c>
      <c r="B455" s="2" t="s">
        <v>918</v>
      </c>
      <c r="C455" s="2" t="s">
        <v>996</v>
      </c>
      <c r="D455" s="2" t="s">
        <v>986</v>
      </c>
      <c r="E455" s="2" t="s">
        <v>245</v>
      </c>
      <c r="F455" s="2" t="n">
        <v>1</v>
      </c>
      <c r="G455" s="2" t="s">
        <v>999</v>
      </c>
    </row>
    <row r="456" customFormat="false" ht="15" hidden="false" customHeight="false" outlineLevel="0" collapsed="false">
      <c r="A456" s="2" t="s">
        <v>1508</v>
      </c>
      <c r="B456" s="2" t="s">
        <v>918</v>
      </c>
      <c r="C456" s="2" t="s">
        <v>996</v>
      </c>
      <c r="D456" s="2" t="s">
        <v>989</v>
      </c>
      <c r="E456" s="2" t="s">
        <v>250</v>
      </c>
      <c r="F456" s="2" t="n">
        <v>1</v>
      </c>
      <c r="G456" s="2" t="s">
        <v>1001</v>
      </c>
    </row>
    <row r="457" customFormat="false" ht="15" hidden="false" customHeight="false" outlineLevel="0" collapsed="false">
      <c r="A457" s="2" t="s">
        <v>1509</v>
      </c>
      <c r="B457" s="2" t="s">
        <v>918</v>
      </c>
      <c r="C457" s="2" t="s">
        <v>996</v>
      </c>
      <c r="D457" s="2" t="s">
        <v>992</v>
      </c>
      <c r="E457" s="2" t="s">
        <v>459</v>
      </c>
      <c r="F457" s="2" t="n">
        <v>1</v>
      </c>
      <c r="G457" s="2" t="s">
        <v>1156</v>
      </c>
    </row>
    <row r="458" customFormat="false" ht="15" hidden="false" customHeight="false" outlineLevel="0" collapsed="false">
      <c r="A458" s="2" t="s">
        <v>1510</v>
      </c>
      <c r="B458" s="2" t="s">
        <v>918</v>
      </c>
      <c r="C458" s="2" t="s">
        <v>1003</v>
      </c>
      <c r="D458" s="2" t="s">
        <v>986</v>
      </c>
      <c r="E458" s="2" t="s">
        <v>311</v>
      </c>
      <c r="F458" s="2" t="n">
        <v>1</v>
      </c>
      <c r="G458" s="2" t="s">
        <v>1006</v>
      </c>
    </row>
    <row r="459" customFormat="false" ht="15" hidden="false" customHeight="false" outlineLevel="0" collapsed="false">
      <c r="A459" s="2" t="s">
        <v>1511</v>
      </c>
      <c r="B459" s="2" t="s">
        <v>918</v>
      </c>
      <c r="C459" s="2" t="s">
        <v>1003</v>
      </c>
      <c r="D459" s="2" t="s">
        <v>989</v>
      </c>
      <c r="E459" s="2" t="s">
        <v>268</v>
      </c>
      <c r="F459" s="2" t="n">
        <v>1</v>
      </c>
      <c r="G459" s="2" t="s">
        <v>1008</v>
      </c>
    </row>
    <row r="460" customFormat="false" ht="15" hidden="false" customHeight="false" outlineLevel="0" collapsed="false">
      <c r="A460" s="2" t="s">
        <v>1512</v>
      </c>
      <c r="B460" s="2" t="s">
        <v>918</v>
      </c>
      <c r="C460" s="2" t="s">
        <v>1003</v>
      </c>
      <c r="D460" s="2" t="s">
        <v>992</v>
      </c>
      <c r="E460" s="2" t="s">
        <v>335</v>
      </c>
      <c r="F460" s="2" t="n">
        <v>1</v>
      </c>
      <c r="G460" s="2" t="s">
        <v>1103</v>
      </c>
    </row>
    <row r="461" customFormat="false" ht="15" hidden="false" customHeight="false" outlineLevel="0" collapsed="false">
      <c r="A461" s="2" t="s">
        <v>1513</v>
      </c>
      <c r="B461" s="2" t="s">
        <v>918</v>
      </c>
      <c r="C461" s="2" t="s">
        <v>1003</v>
      </c>
      <c r="D461" s="2" t="s">
        <v>992</v>
      </c>
      <c r="E461" s="2" t="s">
        <v>490</v>
      </c>
      <c r="F461" s="2" t="n">
        <v>1</v>
      </c>
      <c r="G461" s="2" t="s">
        <v>1103</v>
      </c>
    </row>
    <row r="462" customFormat="false" ht="15" hidden="false" customHeight="false" outlineLevel="0" collapsed="false">
      <c r="A462" s="2" t="s">
        <v>1514</v>
      </c>
      <c r="B462" s="2" t="s">
        <v>918</v>
      </c>
      <c r="C462" s="2" t="s">
        <v>1010</v>
      </c>
      <c r="D462" s="2" t="s">
        <v>983</v>
      </c>
      <c r="E462" s="2" t="s">
        <v>239</v>
      </c>
      <c r="F462" s="2" t="n">
        <v>1</v>
      </c>
      <c r="G462" s="2" t="s">
        <v>1011</v>
      </c>
    </row>
    <row r="463" customFormat="false" ht="15" hidden="false" customHeight="false" outlineLevel="0" collapsed="false">
      <c r="A463" s="2" t="s">
        <v>1515</v>
      </c>
      <c r="B463" s="2" t="s">
        <v>918</v>
      </c>
      <c r="C463" s="2" t="s">
        <v>1010</v>
      </c>
      <c r="D463" s="2" t="s">
        <v>986</v>
      </c>
      <c r="E463" s="2" t="s">
        <v>386</v>
      </c>
      <c r="F463" s="2" t="n">
        <v>1</v>
      </c>
      <c r="G463" s="2" t="s">
        <v>1013</v>
      </c>
    </row>
    <row r="464" customFormat="false" ht="15" hidden="false" customHeight="false" outlineLevel="0" collapsed="false">
      <c r="A464" s="2" t="s">
        <v>1516</v>
      </c>
      <c r="B464" s="2" t="s">
        <v>918</v>
      </c>
      <c r="C464" s="2" t="s">
        <v>1010</v>
      </c>
      <c r="D464" s="2" t="s">
        <v>989</v>
      </c>
      <c r="E464" s="2" t="s">
        <v>424</v>
      </c>
      <c r="F464" s="2" t="n">
        <v>1</v>
      </c>
      <c r="G464" s="2" t="s">
        <v>1015</v>
      </c>
    </row>
    <row r="465" customFormat="false" ht="15" hidden="false" customHeight="false" outlineLevel="0" collapsed="false">
      <c r="A465" s="2" t="s">
        <v>1517</v>
      </c>
      <c r="B465" s="2" t="s">
        <v>918</v>
      </c>
      <c r="C465" s="2" t="s">
        <v>1019</v>
      </c>
      <c r="D465" s="2" t="s">
        <v>983</v>
      </c>
      <c r="E465" s="2" t="s">
        <v>256</v>
      </c>
      <c r="F465" s="2" t="n">
        <v>1</v>
      </c>
      <c r="G465" s="2" t="s">
        <v>1107</v>
      </c>
    </row>
    <row r="466" customFormat="false" ht="15" hidden="false" customHeight="false" outlineLevel="0" collapsed="false">
      <c r="A466" s="2" t="s">
        <v>1518</v>
      </c>
      <c r="B466" s="2" t="s">
        <v>918</v>
      </c>
      <c r="C466" s="2" t="s">
        <v>1019</v>
      </c>
      <c r="D466" s="2" t="s">
        <v>986</v>
      </c>
      <c r="E466" s="2" t="s">
        <v>335</v>
      </c>
      <c r="F466" s="2" t="n">
        <v>1</v>
      </c>
      <c r="G466" s="2" t="s">
        <v>1020</v>
      </c>
    </row>
    <row r="467" customFormat="false" ht="15" hidden="false" customHeight="false" outlineLevel="0" collapsed="false">
      <c r="A467" s="2" t="s">
        <v>1519</v>
      </c>
      <c r="B467" s="2" t="s">
        <v>918</v>
      </c>
      <c r="C467" s="2" t="s">
        <v>1019</v>
      </c>
      <c r="D467" s="2" t="s">
        <v>989</v>
      </c>
      <c r="E467" s="2" t="s">
        <v>386</v>
      </c>
      <c r="F467" s="2" t="n">
        <v>1</v>
      </c>
      <c r="G467" s="2" t="s">
        <v>1022</v>
      </c>
    </row>
    <row r="468" customFormat="false" ht="15" hidden="false" customHeight="false" outlineLevel="0" collapsed="false">
      <c r="A468" s="2" t="s">
        <v>1520</v>
      </c>
      <c r="B468" s="2" t="s">
        <v>918</v>
      </c>
      <c r="C468" s="2" t="s">
        <v>1019</v>
      </c>
      <c r="D468" s="2" t="s">
        <v>992</v>
      </c>
      <c r="E468" s="2" t="s">
        <v>335</v>
      </c>
      <c r="F468" s="2" t="n">
        <v>1</v>
      </c>
      <c r="G468" s="2" t="s">
        <v>1024</v>
      </c>
    </row>
    <row r="469" customFormat="false" ht="15" hidden="false" customHeight="false" outlineLevel="0" collapsed="false">
      <c r="A469" s="2" t="s">
        <v>1521</v>
      </c>
      <c r="B469" s="2" t="s">
        <v>918</v>
      </c>
      <c r="C469" s="2" t="s">
        <v>1026</v>
      </c>
      <c r="D469" s="2" t="s">
        <v>983</v>
      </c>
      <c r="E469" s="2" t="s">
        <v>459</v>
      </c>
      <c r="F469" s="2" t="n">
        <v>1</v>
      </c>
      <c r="G469" s="2" t="s">
        <v>1027</v>
      </c>
    </row>
    <row r="470" customFormat="false" ht="15" hidden="false" customHeight="false" outlineLevel="0" collapsed="false">
      <c r="A470" s="2" t="s">
        <v>1522</v>
      </c>
      <c r="B470" s="2" t="s">
        <v>918</v>
      </c>
      <c r="C470" s="2" t="s">
        <v>1026</v>
      </c>
      <c r="D470" s="2" t="s">
        <v>986</v>
      </c>
      <c r="E470" s="2" t="s">
        <v>239</v>
      </c>
      <c r="F470" s="2" t="n">
        <v>1</v>
      </c>
      <c r="G470" s="2" t="s">
        <v>1029</v>
      </c>
    </row>
    <row r="471" customFormat="false" ht="15" hidden="false" customHeight="false" outlineLevel="0" collapsed="false">
      <c r="A471" s="2" t="s">
        <v>1523</v>
      </c>
      <c r="B471" s="2" t="s">
        <v>918</v>
      </c>
      <c r="C471" s="2" t="s">
        <v>1026</v>
      </c>
      <c r="D471" s="2" t="s">
        <v>989</v>
      </c>
      <c r="E471" s="2" t="s">
        <v>357</v>
      </c>
      <c r="F471" s="2" t="n">
        <v>1</v>
      </c>
      <c r="G471" s="2" t="s">
        <v>1031</v>
      </c>
    </row>
    <row r="472" customFormat="false" ht="15" hidden="false" customHeight="false" outlineLevel="0" collapsed="false">
      <c r="A472" s="2" t="s">
        <v>1524</v>
      </c>
      <c r="B472" s="2" t="s">
        <v>918</v>
      </c>
      <c r="C472" s="2" t="s">
        <v>1026</v>
      </c>
      <c r="D472" s="2" t="s">
        <v>992</v>
      </c>
      <c r="E472" s="2" t="s">
        <v>369</v>
      </c>
      <c r="F472" s="2" t="n">
        <v>1</v>
      </c>
      <c r="G472" s="2" t="s">
        <v>1114</v>
      </c>
    </row>
    <row r="473" customFormat="false" ht="15" hidden="false" customHeight="false" outlineLevel="0" collapsed="false">
      <c r="A473" s="2" t="s">
        <v>1525</v>
      </c>
      <c r="B473" s="2" t="s">
        <v>918</v>
      </c>
      <c r="C473" s="2" t="s">
        <v>1033</v>
      </c>
      <c r="D473" s="2" t="s">
        <v>983</v>
      </c>
      <c r="E473" s="2" t="s">
        <v>317</v>
      </c>
      <c r="F473" s="2" t="n">
        <v>1</v>
      </c>
      <c r="G473" s="2" t="s">
        <v>1034</v>
      </c>
    </row>
    <row r="474" customFormat="false" ht="15" hidden="false" customHeight="false" outlineLevel="0" collapsed="false">
      <c r="A474" s="2" t="s">
        <v>1526</v>
      </c>
      <c r="B474" s="2" t="s">
        <v>918</v>
      </c>
      <c r="C474" s="2" t="s">
        <v>1033</v>
      </c>
      <c r="D474" s="2" t="s">
        <v>989</v>
      </c>
      <c r="E474" s="2" t="s">
        <v>227</v>
      </c>
      <c r="F474" s="2" t="n">
        <v>1</v>
      </c>
      <c r="G474" s="2" t="s">
        <v>1038</v>
      </c>
    </row>
    <row r="475" customFormat="false" ht="15" hidden="false" customHeight="false" outlineLevel="0" collapsed="false">
      <c r="A475" s="2" t="s">
        <v>1527</v>
      </c>
      <c r="B475" s="2" t="s">
        <v>918</v>
      </c>
      <c r="C475" s="2" t="s">
        <v>1033</v>
      </c>
      <c r="D475" s="2" t="s">
        <v>992</v>
      </c>
      <c r="E475" s="2" t="s">
        <v>466</v>
      </c>
      <c r="F475" s="2" t="n">
        <v>1</v>
      </c>
      <c r="G475" s="2" t="s">
        <v>1040</v>
      </c>
    </row>
    <row r="476" customFormat="false" ht="15" hidden="false" customHeight="false" outlineLevel="0" collapsed="false">
      <c r="A476" s="2" t="s">
        <v>1528</v>
      </c>
      <c r="B476" s="2" t="s">
        <v>918</v>
      </c>
      <c r="C476" s="2" t="s">
        <v>1033</v>
      </c>
      <c r="D476" s="2" t="s">
        <v>992</v>
      </c>
      <c r="E476" s="2" t="s">
        <v>472</v>
      </c>
      <c r="F476" s="2" t="n">
        <v>1</v>
      </c>
      <c r="G476" s="2" t="s">
        <v>1040</v>
      </c>
    </row>
    <row r="477" customFormat="false" ht="15" hidden="false" customHeight="false" outlineLevel="0" collapsed="false">
      <c r="A477" s="2" t="s">
        <v>1529</v>
      </c>
      <c r="B477" s="2" t="s">
        <v>918</v>
      </c>
      <c r="C477" s="2" t="s">
        <v>1043</v>
      </c>
      <c r="D477" s="2" t="s">
        <v>986</v>
      </c>
      <c r="E477" s="2" t="s">
        <v>286</v>
      </c>
      <c r="F477" s="2" t="n">
        <v>1</v>
      </c>
      <c r="G477" s="2" t="s">
        <v>1046</v>
      </c>
    </row>
    <row r="478" customFormat="false" ht="15" hidden="false" customHeight="false" outlineLevel="0" collapsed="false">
      <c r="A478" s="2" t="s">
        <v>1530</v>
      </c>
      <c r="B478" s="2" t="s">
        <v>918</v>
      </c>
      <c r="C478" s="2" t="s">
        <v>1043</v>
      </c>
      <c r="D478" s="2" t="s">
        <v>989</v>
      </c>
      <c r="E478" s="2" t="s">
        <v>392</v>
      </c>
      <c r="F478" s="2" t="n">
        <v>1</v>
      </c>
      <c r="G478" s="2" t="s">
        <v>1048</v>
      </c>
    </row>
    <row r="479" customFormat="false" ht="15" hidden="false" customHeight="false" outlineLevel="0" collapsed="false">
      <c r="A479" s="2" t="s">
        <v>1531</v>
      </c>
      <c r="B479" s="2" t="s">
        <v>918</v>
      </c>
      <c r="C479" s="2" t="s">
        <v>1043</v>
      </c>
      <c r="D479" s="2" t="s">
        <v>992</v>
      </c>
      <c r="E479" s="2" t="s">
        <v>496</v>
      </c>
      <c r="F479" s="2" t="n">
        <v>1</v>
      </c>
      <c r="G479" s="2" t="s">
        <v>1050</v>
      </c>
    </row>
    <row r="480" customFormat="false" ht="15" hidden="false" customHeight="false" outlineLevel="0" collapsed="false">
      <c r="A480" s="2" t="s">
        <v>1532</v>
      </c>
      <c r="B480" s="2" t="s">
        <v>918</v>
      </c>
      <c r="C480" s="2" t="s">
        <v>1128</v>
      </c>
      <c r="D480" s="2" t="s">
        <v>986</v>
      </c>
      <c r="E480" s="2" t="s">
        <v>341</v>
      </c>
      <c r="F480" s="2" t="n">
        <v>1</v>
      </c>
      <c r="G480" s="2" t="s">
        <v>1131</v>
      </c>
    </row>
    <row r="481" customFormat="false" ht="15" hidden="false" customHeight="false" outlineLevel="0" collapsed="false">
      <c r="A481" s="2" t="s">
        <v>1533</v>
      </c>
      <c r="B481" s="2" t="s">
        <v>918</v>
      </c>
      <c r="C481" s="2" t="s">
        <v>1128</v>
      </c>
      <c r="D481" s="2" t="s">
        <v>989</v>
      </c>
      <c r="E481" s="2" t="s">
        <v>274</v>
      </c>
      <c r="F481" s="2" t="n">
        <v>1</v>
      </c>
      <c r="G481" s="2" t="s">
        <v>1133</v>
      </c>
    </row>
    <row r="482" customFormat="false" ht="15" hidden="false" customHeight="false" outlineLevel="0" collapsed="false">
      <c r="A482" s="2" t="s">
        <v>1534</v>
      </c>
      <c r="B482" s="2" t="s">
        <v>918</v>
      </c>
      <c r="C482" s="2" t="s">
        <v>1061</v>
      </c>
      <c r="D482" s="2" t="s">
        <v>983</v>
      </c>
      <c r="E482" s="2" t="s">
        <v>484</v>
      </c>
      <c r="F482" s="2" t="n">
        <v>1</v>
      </c>
      <c r="G482" s="2" t="s">
        <v>1062</v>
      </c>
    </row>
    <row r="483" customFormat="false" ht="15" hidden="false" customHeight="false" outlineLevel="0" collapsed="false">
      <c r="A483" s="2" t="s">
        <v>1535</v>
      </c>
      <c r="B483" s="2" t="s">
        <v>918</v>
      </c>
      <c r="C483" s="2" t="s">
        <v>1061</v>
      </c>
      <c r="D483" s="2" t="s">
        <v>989</v>
      </c>
      <c r="E483" s="2" t="s">
        <v>448</v>
      </c>
      <c r="F483" s="2" t="n">
        <v>1</v>
      </c>
      <c r="G483" s="2" t="s">
        <v>1066</v>
      </c>
    </row>
    <row r="484" customFormat="false" ht="15" hidden="false" customHeight="false" outlineLevel="0" collapsed="false">
      <c r="A484" s="2" t="s">
        <v>1536</v>
      </c>
      <c r="B484" s="2" t="s">
        <v>918</v>
      </c>
      <c r="C484" s="2" t="s">
        <v>1061</v>
      </c>
      <c r="D484" s="2" t="s">
        <v>992</v>
      </c>
      <c r="E484" s="2" t="s">
        <v>490</v>
      </c>
      <c r="F484" s="2" t="n">
        <v>1</v>
      </c>
      <c r="G484" s="2" t="s">
        <v>1068</v>
      </c>
    </row>
    <row r="485" customFormat="false" ht="15" hidden="false" customHeight="false" outlineLevel="0" collapsed="false">
      <c r="A485" s="2" t="s">
        <v>1537</v>
      </c>
      <c r="B485" s="2" t="s">
        <v>918</v>
      </c>
      <c r="C485" s="2" t="s">
        <v>1071</v>
      </c>
      <c r="D485" s="2" t="s">
        <v>983</v>
      </c>
      <c r="E485" s="2" t="s">
        <v>484</v>
      </c>
      <c r="F485" s="2" t="n">
        <v>1</v>
      </c>
      <c r="G485" s="2" t="s">
        <v>1138</v>
      </c>
    </row>
    <row r="486" customFormat="false" ht="15" hidden="false" customHeight="false" outlineLevel="0" collapsed="false">
      <c r="A486" s="2" t="s">
        <v>1538</v>
      </c>
      <c r="B486" s="2" t="s">
        <v>918</v>
      </c>
      <c r="C486" s="2" t="s">
        <v>1071</v>
      </c>
      <c r="D486" s="2" t="s">
        <v>986</v>
      </c>
      <c r="E486" s="2" t="s">
        <v>274</v>
      </c>
      <c r="F486" s="2" t="n">
        <v>1</v>
      </c>
      <c r="G486" s="2" t="s">
        <v>1072</v>
      </c>
    </row>
    <row r="487" customFormat="false" ht="15" hidden="false" customHeight="false" outlineLevel="0" collapsed="false">
      <c r="A487" s="2" t="s">
        <v>1539</v>
      </c>
      <c r="B487" s="2" t="s">
        <v>918</v>
      </c>
      <c r="C487" s="2" t="s">
        <v>1071</v>
      </c>
      <c r="D487" s="2" t="s">
        <v>989</v>
      </c>
      <c r="E487" s="2" t="s">
        <v>274</v>
      </c>
      <c r="F487" s="2" t="n">
        <v>1</v>
      </c>
      <c r="G487" s="2" t="s">
        <v>1074</v>
      </c>
    </row>
    <row r="488" customFormat="false" ht="15" hidden="false" customHeight="false" outlineLevel="0" collapsed="false">
      <c r="A488" s="2" t="s">
        <v>1540</v>
      </c>
      <c r="B488" s="2" t="s">
        <v>918</v>
      </c>
      <c r="C488" s="2" t="s">
        <v>220</v>
      </c>
      <c r="D488" s="2" t="s">
        <v>983</v>
      </c>
      <c r="E488" s="2" t="s">
        <v>221</v>
      </c>
      <c r="F488" s="2" t="n">
        <v>1</v>
      </c>
      <c r="G488" s="2" t="s">
        <v>1076</v>
      </c>
    </row>
    <row r="489" customFormat="false" ht="15" hidden="false" customHeight="false" outlineLevel="0" collapsed="false">
      <c r="A489" s="2" t="s">
        <v>1541</v>
      </c>
      <c r="B489" s="2" t="s">
        <v>918</v>
      </c>
      <c r="C489" s="2" t="s">
        <v>220</v>
      </c>
      <c r="D489" s="2" t="s">
        <v>986</v>
      </c>
      <c r="E489" s="2" t="s">
        <v>357</v>
      </c>
      <c r="F489" s="2" t="n">
        <v>1</v>
      </c>
      <c r="G489" s="2" t="s">
        <v>1078</v>
      </c>
    </row>
    <row r="490" customFormat="false" ht="15" hidden="false" customHeight="false" outlineLevel="0" collapsed="false">
      <c r="A490" s="2" t="s">
        <v>1542</v>
      </c>
      <c r="B490" s="2" t="s">
        <v>918</v>
      </c>
      <c r="C490" s="2" t="s">
        <v>220</v>
      </c>
      <c r="D490" s="2" t="s">
        <v>989</v>
      </c>
      <c r="E490" s="2" t="s">
        <v>286</v>
      </c>
      <c r="F490" s="2" t="n">
        <v>1</v>
      </c>
      <c r="G490" s="2" t="s">
        <v>1080</v>
      </c>
    </row>
    <row r="491" customFormat="false" ht="15" hidden="false" customHeight="false" outlineLevel="0" collapsed="false">
      <c r="A491" s="2" t="s">
        <v>1543</v>
      </c>
      <c r="B491" s="2" t="s">
        <v>918</v>
      </c>
      <c r="C491" s="2" t="s">
        <v>220</v>
      </c>
      <c r="D491" s="2" t="s">
        <v>992</v>
      </c>
      <c r="E491" s="2" t="s">
        <v>466</v>
      </c>
      <c r="F491" s="2" t="n">
        <v>1</v>
      </c>
      <c r="G491" s="2" t="s">
        <v>1082</v>
      </c>
    </row>
    <row r="492" customFormat="false" ht="15" hidden="false" customHeight="false" outlineLevel="0" collapsed="false">
      <c r="A492" s="2" t="s">
        <v>1544</v>
      </c>
      <c r="B492" s="2" t="s">
        <v>921</v>
      </c>
      <c r="C492" s="2" t="s">
        <v>1085</v>
      </c>
      <c r="D492" s="2" t="s">
        <v>983</v>
      </c>
      <c r="E492" s="2" t="s">
        <v>280</v>
      </c>
      <c r="F492" s="2" t="n">
        <v>1</v>
      </c>
      <c r="G492" s="2" t="s">
        <v>1086</v>
      </c>
    </row>
    <row r="493" customFormat="false" ht="15" hidden="false" customHeight="false" outlineLevel="0" collapsed="false">
      <c r="A493" s="2" t="s">
        <v>1545</v>
      </c>
      <c r="B493" s="2" t="s">
        <v>921</v>
      </c>
      <c r="C493" s="2" t="s">
        <v>1085</v>
      </c>
      <c r="D493" s="2" t="s">
        <v>986</v>
      </c>
      <c r="E493" s="2" t="s">
        <v>298</v>
      </c>
      <c r="F493" s="2" t="n">
        <v>1</v>
      </c>
      <c r="G493" s="2" t="s">
        <v>1088</v>
      </c>
    </row>
    <row r="494" customFormat="false" ht="15" hidden="false" customHeight="false" outlineLevel="0" collapsed="false">
      <c r="A494" s="2" t="s">
        <v>1546</v>
      </c>
      <c r="B494" s="2" t="s">
        <v>921</v>
      </c>
      <c r="C494" s="2" t="s">
        <v>1085</v>
      </c>
      <c r="D494" s="2" t="s">
        <v>992</v>
      </c>
      <c r="E494" s="2" t="s">
        <v>335</v>
      </c>
      <c r="F494" s="2" t="n">
        <v>1</v>
      </c>
      <c r="G494" s="2" t="s">
        <v>1092</v>
      </c>
    </row>
    <row r="495" customFormat="false" ht="15" hidden="false" customHeight="false" outlineLevel="0" collapsed="false">
      <c r="A495" s="2" t="s">
        <v>1547</v>
      </c>
      <c r="B495" s="2" t="s">
        <v>921</v>
      </c>
      <c r="C495" s="2" t="s">
        <v>982</v>
      </c>
      <c r="D495" s="2" t="s">
        <v>983</v>
      </c>
      <c r="E495" s="2" t="s">
        <v>335</v>
      </c>
      <c r="F495" s="2" t="n">
        <v>1</v>
      </c>
      <c r="G495" s="2" t="s">
        <v>984</v>
      </c>
    </row>
    <row r="496" customFormat="false" ht="15" hidden="false" customHeight="false" outlineLevel="0" collapsed="false">
      <c r="A496" s="2" t="s">
        <v>1548</v>
      </c>
      <c r="B496" s="2" t="s">
        <v>921</v>
      </c>
      <c r="C496" s="2" t="s">
        <v>982</v>
      </c>
      <c r="D496" s="2" t="s">
        <v>986</v>
      </c>
      <c r="E496" s="2" t="s">
        <v>374</v>
      </c>
      <c r="F496" s="2" t="n">
        <v>1</v>
      </c>
      <c r="G496" s="2" t="s">
        <v>987</v>
      </c>
    </row>
    <row r="497" customFormat="false" ht="15" hidden="false" customHeight="false" outlineLevel="0" collapsed="false">
      <c r="A497" s="2" t="s">
        <v>1549</v>
      </c>
      <c r="B497" s="2" t="s">
        <v>921</v>
      </c>
      <c r="C497" s="2" t="s">
        <v>982</v>
      </c>
      <c r="D497" s="2" t="s">
        <v>989</v>
      </c>
      <c r="E497" s="2" t="s">
        <v>211</v>
      </c>
      <c r="F497" s="2" t="n">
        <v>1</v>
      </c>
      <c r="G497" s="2" t="s">
        <v>990</v>
      </c>
    </row>
    <row r="498" customFormat="false" ht="15" hidden="false" customHeight="false" outlineLevel="0" collapsed="false">
      <c r="A498" s="2" t="s">
        <v>1550</v>
      </c>
      <c r="B498" s="2" t="s">
        <v>921</v>
      </c>
      <c r="C498" s="2" t="s">
        <v>1003</v>
      </c>
      <c r="D498" s="2" t="s">
        <v>983</v>
      </c>
      <c r="E498" s="2" t="s">
        <v>466</v>
      </c>
      <c r="F498" s="2" t="n">
        <v>1</v>
      </c>
      <c r="G498" s="2" t="s">
        <v>1004</v>
      </c>
    </row>
    <row r="499" customFormat="false" ht="15" hidden="false" customHeight="false" outlineLevel="0" collapsed="false">
      <c r="A499" s="2" t="s">
        <v>1551</v>
      </c>
      <c r="B499" s="2" t="s">
        <v>921</v>
      </c>
      <c r="C499" s="2" t="s">
        <v>1003</v>
      </c>
      <c r="D499" s="2" t="s">
        <v>986</v>
      </c>
      <c r="E499" s="2" t="s">
        <v>221</v>
      </c>
      <c r="F499" s="2" t="n">
        <v>1</v>
      </c>
      <c r="G499" s="2" t="s">
        <v>1006</v>
      </c>
    </row>
    <row r="500" customFormat="false" ht="15" hidden="false" customHeight="false" outlineLevel="0" collapsed="false">
      <c r="A500" s="2" t="s">
        <v>1552</v>
      </c>
      <c r="B500" s="2" t="s">
        <v>921</v>
      </c>
      <c r="C500" s="2" t="s">
        <v>1003</v>
      </c>
      <c r="D500" s="2" t="s">
        <v>989</v>
      </c>
      <c r="E500" s="2" t="s">
        <v>374</v>
      </c>
      <c r="F500" s="2" t="n">
        <v>1</v>
      </c>
      <c r="G500" s="2" t="s">
        <v>1008</v>
      </c>
    </row>
    <row r="501" customFormat="false" ht="15" hidden="false" customHeight="false" outlineLevel="0" collapsed="false">
      <c r="A501" s="2" t="s">
        <v>1553</v>
      </c>
      <c r="B501" s="2" t="s">
        <v>921</v>
      </c>
      <c r="C501" s="2" t="s">
        <v>1019</v>
      </c>
      <c r="D501" s="2" t="s">
        <v>986</v>
      </c>
      <c r="E501" s="2" t="s">
        <v>386</v>
      </c>
      <c r="F501" s="2" t="n">
        <v>1</v>
      </c>
      <c r="G501" s="2" t="s">
        <v>1020</v>
      </c>
    </row>
    <row r="502" customFormat="false" ht="15" hidden="false" customHeight="false" outlineLevel="0" collapsed="false">
      <c r="A502" s="2" t="s">
        <v>1554</v>
      </c>
      <c r="B502" s="2" t="s">
        <v>921</v>
      </c>
      <c r="C502" s="2" t="s">
        <v>1019</v>
      </c>
      <c r="D502" s="2" t="s">
        <v>989</v>
      </c>
      <c r="E502" s="2" t="s">
        <v>211</v>
      </c>
      <c r="F502" s="2" t="n">
        <v>1</v>
      </c>
      <c r="G502" s="2" t="s">
        <v>1022</v>
      </c>
    </row>
    <row r="503" customFormat="false" ht="15" hidden="false" customHeight="false" outlineLevel="0" collapsed="false">
      <c r="A503" s="2" t="s">
        <v>1555</v>
      </c>
      <c r="B503" s="2" t="s">
        <v>921</v>
      </c>
      <c r="C503" s="2" t="s">
        <v>1019</v>
      </c>
      <c r="D503" s="2" t="s">
        <v>992</v>
      </c>
      <c r="E503" s="2" t="s">
        <v>490</v>
      </c>
      <c r="F503" s="2" t="n">
        <v>1</v>
      </c>
      <c r="G503" s="2" t="s">
        <v>1024</v>
      </c>
    </row>
    <row r="504" customFormat="false" ht="15" hidden="false" customHeight="false" outlineLevel="0" collapsed="false">
      <c r="A504" s="2" t="s">
        <v>1556</v>
      </c>
      <c r="B504" s="2" t="s">
        <v>921</v>
      </c>
      <c r="C504" s="2" t="s">
        <v>1019</v>
      </c>
      <c r="D504" s="2" t="s">
        <v>992</v>
      </c>
      <c r="E504" s="2" t="s">
        <v>477</v>
      </c>
      <c r="F504" s="2" t="n">
        <v>1</v>
      </c>
      <c r="G504" s="2" t="s">
        <v>1024</v>
      </c>
    </row>
    <row r="505" customFormat="false" ht="15" hidden="false" customHeight="false" outlineLevel="0" collapsed="false">
      <c r="A505" s="2" t="s">
        <v>1557</v>
      </c>
      <c r="B505" s="2" t="s">
        <v>921</v>
      </c>
      <c r="C505" s="2" t="s">
        <v>1026</v>
      </c>
      <c r="D505" s="2" t="s">
        <v>983</v>
      </c>
      <c r="E505" s="2" t="s">
        <v>221</v>
      </c>
      <c r="F505" s="2" t="n">
        <v>1</v>
      </c>
      <c r="G505" s="2" t="s">
        <v>1027</v>
      </c>
    </row>
    <row r="506" customFormat="false" ht="15" hidden="false" customHeight="false" outlineLevel="0" collapsed="false">
      <c r="A506" s="2" t="s">
        <v>1558</v>
      </c>
      <c r="B506" s="2" t="s">
        <v>921</v>
      </c>
      <c r="C506" s="2" t="s">
        <v>1026</v>
      </c>
      <c r="D506" s="2" t="s">
        <v>986</v>
      </c>
      <c r="E506" s="2" t="s">
        <v>227</v>
      </c>
      <c r="F506" s="2" t="n">
        <v>1</v>
      </c>
      <c r="G506" s="2" t="s">
        <v>1029</v>
      </c>
    </row>
    <row r="507" customFormat="false" ht="15" hidden="false" customHeight="false" outlineLevel="0" collapsed="false">
      <c r="A507" s="2" t="s">
        <v>1559</v>
      </c>
      <c r="B507" s="2" t="s">
        <v>921</v>
      </c>
      <c r="C507" s="2" t="s">
        <v>1026</v>
      </c>
      <c r="D507" s="2" t="s">
        <v>989</v>
      </c>
      <c r="E507" s="2" t="s">
        <v>280</v>
      </c>
      <c r="F507" s="2" t="n">
        <v>1</v>
      </c>
      <c r="G507" s="2" t="s">
        <v>1031</v>
      </c>
    </row>
    <row r="508" customFormat="false" ht="15" hidden="false" customHeight="false" outlineLevel="0" collapsed="false">
      <c r="A508" s="2" t="s">
        <v>1560</v>
      </c>
      <c r="B508" s="2" t="s">
        <v>921</v>
      </c>
      <c r="C508" s="2" t="s">
        <v>1033</v>
      </c>
      <c r="D508" s="2" t="s">
        <v>983</v>
      </c>
      <c r="E508" s="2" t="s">
        <v>268</v>
      </c>
      <c r="F508" s="2" t="n">
        <v>1</v>
      </c>
      <c r="G508" s="2" t="s">
        <v>1034</v>
      </c>
    </row>
    <row r="509" customFormat="false" ht="15" hidden="false" customHeight="false" outlineLevel="0" collapsed="false">
      <c r="A509" s="2" t="s">
        <v>1561</v>
      </c>
      <c r="B509" s="2" t="s">
        <v>921</v>
      </c>
      <c r="C509" s="2" t="s">
        <v>1033</v>
      </c>
      <c r="D509" s="2" t="s">
        <v>986</v>
      </c>
      <c r="E509" s="2" t="s">
        <v>363</v>
      </c>
      <c r="F509" s="2" t="n">
        <v>1</v>
      </c>
      <c r="G509" s="2" t="s">
        <v>1036</v>
      </c>
    </row>
    <row r="510" customFormat="false" ht="15" hidden="false" customHeight="false" outlineLevel="0" collapsed="false">
      <c r="A510" s="2" t="s">
        <v>1562</v>
      </c>
      <c r="B510" s="2" t="s">
        <v>921</v>
      </c>
      <c r="C510" s="2" t="s">
        <v>1033</v>
      </c>
      <c r="D510" s="2" t="s">
        <v>992</v>
      </c>
      <c r="E510" s="2" t="s">
        <v>335</v>
      </c>
      <c r="F510" s="2" t="n">
        <v>1</v>
      </c>
      <c r="G510" s="2" t="s">
        <v>1040</v>
      </c>
    </row>
    <row r="511" customFormat="false" ht="15" hidden="false" customHeight="false" outlineLevel="0" collapsed="false">
      <c r="A511" s="2" t="s">
        <v>1563</v>
      </c>
      <c r="B511" s="2" t="s">
        <v>921</v>
      </c>
      <c r="C511" s="2" t="s">
        <v>1043</v>
      </c>
      <c r="D511" s="2" t="s">
        <v>983</v>
      </c>
      <c r="E511" s="2" t="s">
        <v>268</v>
      </c>
      <c r="F511" s="2" t="n">
        <v>1</v>
      </c>
      <c r="G511" s="2" t="s">
        <v>1044</v>
      </c>
    </row>
    <row r="512" customFormat="false" ht="15" hidden="false" customHeight="false" outlineLevel="0" collapsed="false">
      <c r="A512" s="2" t="s">
        <v>1564</v>
      </c>
      <c r="B512" s="2" t="s">
        <v>921</v>
      </c>
      <c r="C512" s="2" t="s">
        <v>1043</v>
      </c>
      <c r="D512" s="2" t="s">
        <v>986</v>
      </c>
      <c r="E512" s="2" t="s">
        <v>347</v>
      </c>
      <c r="F512" s="2" t="n">
        <v>1</v>
      </c>
      <c r="G512" s="2" t="s">
        <v>1046</v>
      </c>
    </row>
    <row r="513" customFormat="false" ht="15" hidden="false" customHeight="false" outlineLevel="0" collapsed="false">
      <c r="A513" s="2" t="s">
        <v>1565</v>
      </c>
      <c r="B513" s="2" t="s">
        <v>921</v>
      </c>
      <c r="C513" s="2" t="s">
        <v>1043</v>
      </c>
      <c r="D513" s="2" t="s">
        <v>989</v>
      </c>
      <c r="E513" s="2" t="s">
        <v>250</v>
      </c>
      <c r="F513" s="2" t="n">
        <v>1</v>
      </c>
      <c r="G513" s="2" t="s">
        <v>1048</v>
      </c>
    </row>
    <row r="514" customFormat="false" ht="15" hidden="false" customHeight="false" outlineLevel="0" collapsed="false">
      <c r="A514" s="2" t="s">
        <v>1566</v>
      </c>
      <c r="B514" s="2" t="s">
        <v>921</v>
      </c>
      <c r="C514" s="2" t="s">
        <v>1052</v>
      </c>
      <c r="D514" s="2" t="s">
        <v>983</v>
      </c>
      <c r="E514" s="2" t="s">
        <v>239</v>
      </c>
      <c r="F514" s="2" t="n">
        <v>1</v>
      </c>
      <c r="G514" s="2" t="s">
        <v>1053</v>
      </c>
    </row>
    <row r="515" customFormat="false" ht="15" hidden="false" customHeight="false" outlineLevel="0" collapsed="false">
      <c r="A515" s="2" t="s">
        <v>1567</v>
      </c>
      <c r="B515" s="2" t="s">
        <v>921</v>
      </c>
      <c r="C515" s="2" t="s">
        <v>1052</v>
      </c>
      <c r="D515" s="2" t="s">
        <v>986</v>
      </c>
      <c r="E515" s="2" t="s">
        <v>280</v>
      </c>
      <c r="F515" s="2" t="n">
        <v>1</v>
      </c>
      <c r="G515" s="2" t="s">
        <v>1055</v>
      </c>
    </row>
    <row r="516" customFormat="false" ht="15" hidden="false" customHeight="false" outlineLevel="0" collapsed="false">
      <c r="A516" s="2" t="s">
        <v>1568</v>
      </c>
      <c r="B516" s="2" t="s">
        <v>921</v>
      </c>
      <c r="C516" s="2" t="s">
        <v>1052</v>
      </c>
      <c r="D516" s="2" t="s">
        <v>992</v>
      </c>
      <c r="E516" s="2" t="s">
        <v>490</v>
      </c>
      <c r="F516" s="2" t="n">
        <v>1</v>
      </c>
      <c r="G516" s="2" t="s">
        <v>1059</v>
      </c>
    </row>
    <row r="517" customFormat="false" ht="15" hidden="false" customHeight="false" outlineLevel="0" collapsed="false">
      <c r="A517" s="2" t="s">
        <v>1569</v>
      </c>
      <c r="B517" s="2" t="s">
        <v>921</v>
      </c>
      <c r="C517" s="2" t="s">
        <v>1128</v>
      </c>
      <c r="D517" s="2" t="s">
        <v>983</v>
      </c>
      <c r="E517" s="2" t="s">
        <v>274</v>
      </c>
      <c r="F517" s="2" t="n">
        <v>1</v>
      </c>
      <c r="G517" s="2" t="s">
        <v>1129</v>
      </c>
    </row>
    <row r="518" customFormat="false" ht="15" hidden="false" customHeight="false" outlineLevel="0" collapsed="false">
      <c r="A518" s="2" t="s">
        <v>1570</v>
      </c>
      <c r="B518" s="2" t="s">
        <v>921</v>
      </c>
      <c r="C518" s="2" t="s">
        <v>1128</v>
      </c>
      <c r="D518" s="2" t="s">
        <v>986</v>
      </c>
      <c r="E518" s="2" t="s">
        <v>298</v>
      </c>
      <c r="F518" s="2" t="n">
        <v>1</v>
      </c>
      <c r="G518" s="2" t="s">
        <v>1131</v>
      </c>
    </row>
    <row r="519" customFormat="false" ht="15" hidden="false" customHeight="false" outlineLevel="0" collapsed="false">
      <c r="A519" s="2" t="s">
        <v>1571</v>
      </c>
      <c r="B519" s="2" t="s">
        <v>921</v>
      </c>
      <c r="C519" s="2" t="s">
        <v>1128</v>
      </c>
      <c r="D519" s="2" t="s">
        <v>992</v>
      </c>
      <c r="E519" s="2" t="s">
        <v>335</v>
      </c>
      <c r="F519" s="2" t="n">
        <v>1</v>
      </c>
      <c r="G519" s="2" t="s">
        <v>1135</v>
      </c>
    </row>
    <row r="520" customFormat="false" ht="15" hidden="false" customHeight="false" outlineLevel="0" collapsed="false">
      <c r="A520" s="2" t="s">
        <v>1572</v>
      </c>
      <c r="B520" s="2" t="s">
        <v>921</v>
      </c>
      <c r="C520" s="2" t="s">
        <v>1128</v>
      </c>
      <c r="D520" s="2" t="s">
        <v>992</v>
      </c>
      <c r="E520" s="2" t="s">
        <v>484</v>
      </c>
      <c r="F520" s="2" t="n">
        <v>1</v>
      </c>
      <c r="G520" s="2" t="s">
        <v>1135</v>
      </c>
    </row>
    <row r="521" customFormat="false" ht="15" hidden="false" customHeight="false" outlineLevel="0" collapsed="false">
      <c r="A521" s="2" t="s">
        <v>1573</v>
      </c>
      <c r="B521" s="2" t="s">
        <v>921</v>
      </c>
      <c r="C521" s="2" t="s">
        <v>1061</v>
      </c>
      <c r="D521" s="2" t="s">
        <v>983</v>
      </c>
      <c r="E521" s="2" t="s">
        <v>274</v>
      </c>
      <c r="F521" s="2" t="n">
        <v>1</v>
      </c>
      <c r="G521" s="2" t="s">
        <v>1062</v>
      </c>
    </row>
    <row r="522" customFormat="false" ht="15" hidden="false" customHeight="false" outlineLevel="0" collapsed="false">
      <c r="A522" s="2" t="s">
        <v>1574</v>
      </c>
      <c r="B522" s="2" t="s">
        <v>921</v>
      </c>
      <c r="C522" s="2" t="s">
        <v>1061</v>
      </c>
      <c r="D522" s="2" t="s">
        <v>986</v>
      </c>
      <c r="E522" s="2" t="s">
        <v>412</v>
      </c>
      <c r="F522" s="2" t="n">
        <v>1</v>
      </c>
      <c r="G522" s="2" t="s">
        <v>1064</v>
      </c>
    </row>
    <row r="523" customFormat="false" ht="15" hidden="false" customHeight="false" outlineLevel="0" collapsed="false">
      <c r="A523" s="2" t="s">
        <v>1575</v>
      </c>
      <c r="B523" s="2" t="s">
        <v>921</v>
      </c>
      <c r="C523" s="2" t="s">
        <v>1071</v>
      </c>
      <c r="D523" s="2" t="s">
        <v>983</v>
      </c>
      <c r="E523" s="2" t="s">
        <v>484</v>
      </c>
      <c r="F523" s="2" t="n">
        <v>1</v>
      </c>
      <c r="G523" s="2" t="s">
        <v>1138</v>
      </c>
    </row>
    <row r="524" customFormat="false" ht="15" hidden="false" customHeight="false" outlineLevel="0" collapsed="false">
      <c r="A524" s="2" t="s">
        <v>1576</v>
      </c>
      <c r="B524" s="2" t="s">
        <v>921</v>
      </c>
      <c r="C524" s="2" t="s">
        <v>1071</v>
      </c>
      <c r="D524" s="2" t="s">
        <v>986</v>
      </c>
      <c r="E524" s="2" t="s">
        <v>357</v>
      </c>
      <c r="F524" s="2" t="n">
        <v>1</v>
      </c>
      <c r="G524" s="2" t="s">
        <v>1072</v>
      </c>
    </row>
    <row r="525" customFormat="false" ht="15" hidden="false" customHeight="false" outlineLevel="0" collapsed="false">
      <c r="A525" s="2" t="s">
        <v>1577</v>
      </c>
      <c r="B525" s="2" t="s">
        <v>921</v>
      </c>
      <c r="C525" s="2" t="s">
        <v>1071</v>
      </c>
      <c r="D525" s="2" t="s">
        <v>989</v>
      </c>
      <c r="E525" s="2" t="s">
        <v>280</v>
      </c>
      <c r="F525" s="2" t="n">
        <v>1</v>
      </c>
      <c r="G525" s="2" t="s">
        <v>1074</v>
      </c>
    </row>
    <row r="526" customFormat="false" ht="15" hidden="false" customHeight="false" outlineLevel="0" collapsed="false">
      <c r="A526" s="2" t="s">
        <v>1578</v>
      </c>
      <c r="B526" s="2" t="s">
        <v>921</v>
      </c>
      <c r="C526" s="2" t="s">
        <v>1071</v>
      </c>
      <c r="D526" s="2" t="s">
        <v>992</v>
      </c>
      <c r="E526" s="2" t="s">
        <v>484</v>
      </c>
      <c r="F526" s="2" t="n">
        <v>1</v>
      </c>
      <c r="G526" s="2" t="s">
        <v>1141</v>
      </c>
    </row>
    <row r="527" customFormat="false" ht="15" hidden="false" customHeight="false" outlineLevel="0" collapsed="false">
      <c r="A527" s="2" t="s">
        <v>1579</v>
      </c>
      <c r="B527" s="2" t="s">
        <v>921</v>
      </c>
      <c r="C527" s="2" t="s">
        <v>1071</v>
      </c>
      <c r="D527" s="2" t="s">
        <v>992</v>
      </c>
      <c r="E527" s="2" t="s">
        <v>369</v>
      </c>
      <c r="F527" s="2" t="n">
        <v>1</v>
      </c>
      <c r="G527" s="2" t="s">
        <v>1141</v>
      </c>
    </row>
    <row r="528" customFormat="false" ht="15" hidden="false" customHeight="false" outlineLevel="0" collapsed="false">
      <c r="A528" s="2" t="s">
        <v>1580</v>
      </c>
      <c r="B528" s="2" t="s">
        <v>921</v>
      </c>
      <c r="C528" s="2" t="s">
        <v>220</v>
      </c>
      <c r="D528" s="2" t="s">
        <v>986</v>
      </c>
      <c r="E528" s="2" t="s">
        <v>227</v>
      </c>
      <c r="F528" s="2" t="n">
        <v>1</v>
      </c>
      <c r="G528" s="2" t="s">
        <v>1078</v>
      </c>
    </row>
    <row r="529" customFormat="false" ht="15" hidden="false" customHeight="false" outlineLevel="0" collapsed="false">
      <c r="A529" s="2" t="s">
        <v>1581</v>
      </c>
      <c r="B529" s="2" t="s">
        <v>921</v>
      </c>
      <c r="C529" s="2" t="s">
        <v>220</v>
      </c>
      <c r="D529" s="2" t="s">
        <v>989</v>
      </c>
      <c r="E529" s="2" t="s">
        <v>436</v>
      </c>
      <c r="F529" s="2" t="n">
        <v>1</v>
      </c>
      <c r="G529" s="2" t="s">
        <v>1080</v>
      </c>
    </row>
    <row r="530" customFormat="false" ht="15" hidden="false" customHeight="false" outlineLevel="0" collapsed="false">
      <c r="A530" s="2" t="s">
        <v>1582</v>
      </c>
      <c r="B530" s="2" t="s">
        <v>921</v>
      </c>
      <c r="C530" s="2" t="s">
        <v>220</v>
      </c>
      <c r="D530" s="2" t="s">
        <v>992</v>
      </c>
      <c r="E530" s="2" t="s">
        <v>490</v>
      </c>
      <c r="F530" s="2" t="n">
        <v>1</v>
      </c>
      <c r="G530" s="2" t="s">
        <v>1082</v>
      </c>
    </row>
    <row r="531" customFormat="false" ht="15" hidden="false" customHeight="false" outlineLevel="0" collapsed="false">
      <c r="A531" s="2" t="s">
        <v>1583</v>
      </c>
      <c r="B531" s="2" t="s">
        <v>921</v>
      </c>
      <c r="C531" s="2" t="s">
        <v>220</v>
      </c>
      <c r="D531" s="2" t="s">
        <v>992</v>
      </c>
      <c r="E531" s="2" t="s">
        <v>335</v>
      </c>
      <c r="F531" s="2" t="n">
        <v>1</v>
      </c>
      <c r="G531" s="2" t="s">
        <v>1082</v>
      </c>
    </row>
    <row r="532" customFormat="false" ht="15" hidden="false" customHeight="false" outlineLevel="0" collapsed="false">
      <c r="A532" s="2" t="s">
        <v>1584</v>
      </c>
      <c r="B532" s="2" t="s">
        <v>921</v>
      </c>
      <c r="C532" s="2" t="s">
        <v>220</v>
      </c>
      <c r="D532" s="2" t="s">
        <v>992</v>
      </c>
      <c r="E532" s="2" t="s">
        <v>369</v>
      </c>
      <c r="F532" s="2" t="n">
        <v>1</v>
      </c>
      <c r="G532" s="2" t="s">
        <v>1082</v>
      </c>
    </row>
    <row r="533" customFormat="false" ht="15" hidden="false" customHeight="false" outlineLevel="0" collapsed="false">
      <c r="A533" s="2" t="s">
        <v>1585</v>
      </c>
      <c r="B533" s="2" t="s">
        <v>924</v>
      </c>
      <c r="C533" s="2" t="s">
        <v>1085</v>
      </c>
      <c r="D533" s="2" t="s">
        <v>983</v>
      </c>
      <c r="E533" s="2" t="s">
        <v>335</v>
      </c>
      <c r="F533" s="2" t="n">
        <v>1</v>
      </c>
      <c r="G533" s="2" t="s">
        <v>1086</v>
      </c>
    </row>
    <row r="534" customFormat="false" ht="15" hidden="false" customHeight="false" outlineLevel="0" collapsed="false">
      <c r="A534" s="2" t="s">
        <v>1586</v>
      </c>
      <c r="B534" s="2" t="s">
        <v>924</v>
      </c>
      <c r="C534" s="2" t="s">
        <v>1085</v>
      </c>
      <c r="D534" s="2" t="s">
        <v>986</v>
      </c>
      <c r="E534" s="2" t="s">
        <v>262</v>
      </c>
      <c r="F534" s="2" t="n">
        <v>1</v>
      </c>
      <c r="G534" s="2" t="s">
        <v>1088</v>
      </c>
    </row>
    <row r="535" customFormat="false" ht="15" hidden="false" customHeight="false" outlineLevel="0" collapsed="false">
      <c r="A535" s="2" t="s">
        <v>1587</v>
      </c>
      <c r="B535" s="2" t="s">
        <v>924</v>
      </c>
      <c r="C535" s="2" t="s">
        <v>1085</v>
      </c>
      <c r="D535" s="2" t="s">
        <v>989</v>
      </c>
      <c r="E535" s="2" t="s">
        <v>311</v>
      </c>
      <c r="F535" s="2" t="n">
        <v>1</v>
      </c>
      <c r="G535" s="2" t="s">
        <v>1090</v>
      </c>
    </row>
    <row r="536" customFormat="false" ht="15" hidden="false" customHeight="false" outlineLevel="0" collapsed="false">
      <c r="A536" s="2" t="s">
        <v>1588</v>
      </c>
      <c r="B536" s="2" t="s">
        <v>924</v>
      </c>
      <c r="C536" s="2" t="s">
        <v>1085</v>
      </c>
      <c r="D536" s="2" t="s">
        <v>992</v>
      </c>
      <c r="E536" s="2" t="s">
        <v>477</v>
      </c>
      <c r="F536" s="2" t="n">
        <v>1</v>
      </c>
      <c r="G536" s="2" t="s">
        <v>1092</v>
      </c>
    </row>
    <row r="537" customFormat="false" ht="15" hidden="false" customHeight="false" outlineLevel="0" collapsed="false">
      <c r="A537" s="2" t="s">
        <v>1589</v>
      </c>
      <c r="B537" s="2" t="s">
        <v>924</v>
      </c>
      <c r="C537" s="2" t="s">
        <v>982</v>
      </c>
      <c r="D537" s="2" t="s">
        <v>983</v>
      </c>
      <c r="E537" s="2" t="s">
        <v>317</v>
      </c>
      <c r="F537" s="2" t="n">
        <v>1</v>
      </c>
      <c r="G537" s="2" t="s">
        <v>984</v>
      </c>
    </row>
    <row r="538" customFormat="false" ht="15" hidden="false" customHeight="false" outlineLevel="0" collapsed="false">
      <c r="A538" s="2" t="s">
        <v>1590</v>
      </c>
      <c r="B538" s="2" t="s">
        <v>924</v>
      </c>
      <c r="C538" s="2" t="s">
        <v>982</v>
      </c>
      <c r="D538" s="2" t="s">
        <v>986</v>
      </c>
      <c r="E538" s="2" t="s">
        <v>317</v>
      </c>
      <c r="F538" s="2" t="n">
        <v>1</v>
      </c>
      <c r="G538" s="2" t="s">
        <v>987</v>
      </c>
    </row>
    <row r="539" customFormat="false" ht="15" hidden="false" customHeight="false" outlineLevel="0" collapsed="false">
      <c r="A539" s="2" t="s">
        <v>1591</v>
      </c>
      <c r="B539" s="2" t="s">
        <v>924</v>
      </c>
      <c r="C539" s="2" t="s">
        <v>982</v>
      </c>
      <c r="D539" s="2" t="s">
        <v>992</v>
      </c>
      <c r="E539" s="2" t="s">
        <v>477</v>
      </c>
      <c r="F539" s="2" t="n">
        <v>1</v>
      </c>
      <c r="G539" s="2" t="s">
        <v>993</v>
      </c>
    </row>
    <row r="540" customFormat="false" ht="15" hidden="false" customHeight="false" outlineLevel="0" collapsed="false">
      <c r="A540" s="2" t="s">
        <v>1592</v>
      </c>
      <c r="B540" s="2" t="s">
        <v>924</v>
      </c>
      <c r="C540" s="2" t="s">
        <v>1003</v>
      </c>
      <c r="D540" s="2" t="s">
        <v>983</v>
      </c>
      <c r="E540" s="2" t="s">
        <v>352</v>
      </c>
      <c r="F540" s="2" t="n">
        <v>1</v>
      </c>
      <c r="G540" s="2" t="s">
        <v>1004</v>
      </c>
    </row>
    <row r="541" customFormat="false" ht="15" hidden="false" customHeight="false" outlineLevel="0" collapsed="false">
      <c r="A541" s="2" t="s">
        <v>1593</v>
      </c>
      <c r="B541" s="2" t="s">
        <v>924</v>
      </c>
      <c r="C541" s="2" t="s">
        <v>1003</v>
      </c>
      <c r="D541" s="2" t="s">
        <v>986</v>
      </c>
      <c r="E541" s="2" t="s">
        <v>369</v>
      </c>
      <c r="F541" s="2" t="n">
        <v>1</v>
      </c>
      <c r="G541" s="2" t="s">
        <v>1006</v>
      </c>
    </row>
    <row r="542" customFormat="false" ht="15" hidden="false" customHeight="false" outlineLevel="0" collapsed="false">
      <c r="A542" s="2" t="s">
        <v>1594</v>
      </c>
      <c r="B542" s="2" t="s">
        <v>924</v>
      </c>
      <c r="C542" s="2" t="s">
        <v>1003</v>
      </c>
      <c r="D542" s="2" t="s">
        <v>989</v>
      </c>
      <c r="E542" s="2" t="s">
        <v>374</v>
      </c>
      <c r="F542" s="2" t="n">
        <v>1</v>
      </c>
      <c r="G542" s="2" t="s">
        <v>1008</v>
      </c>
    </row>
    <row r="543" customFormat="false" ht="15" hidden="false" customHeight="false" outlineLevel="0" collapsed="false">
      <c r="A543" s="2" t="s">
        <v>1595</v>
      </c>
      <c r="B543" s="2" t="s">
        <v>924</v>
      </c>
      <c r="C543" s="2" t="s">
        <v>1003</v>
      </c>
      <c r="D543" s="2" t="s">
        <v>992</v>
      </c>
      <c r="E543" s="2" t="s">
        <v>477</v>
      </c>
      <c r="F543" s="2" t="n">
        <v>1</v>
      </c>
      <c r="G543" s="2" t="s">
        <v>1103</v>
      </c>
    </row>
    <row r="544" customFormat="false" ht="15" hidden="false" customHeight="false" outlineLevel="0" collapsed="false">
      <c r="A544" s="2" t="s">
        <v>1596</v>
      </c>
      <c r="B544" s="2" t="s">
        <v>924</v>
      </c>
      <c r="C544" s="2" t="s">
        <v>1003</v>
      </c>
      <c r="D544" s="2" t="s">
        <v>992</v>
      </c>
      <c r="E544" s="2" t="s">
        <v>466</v>
      </c>
      <c r="F544" s="2" t="n">
        <v>1</v>
      </c>
      <c r="G544" s="2" t="s">
        <v>1103</v>
      </c>
    </row>
    <row r="545" customFormat="false" ht="15" hidden="false" customHeight="false" outlineLevel="0" collapsed="false">
      <c r="A545" s="2" t="s">
        <v>1597</v>
      </c>
      <c r="B545" s="2" t="s">
        <v>924</v>
      </c>
      <c r="C545" s="2" t="s">
        <v>1003</v>
      </c>
      <c r="D545" s="2" t="s">
        <v>992</v>
      </c>
      <c r="E545" s="2" t="s">
        <v>484</v>
      </c>
      <c r="F545" s="2" t="n">
        <v>1</v>
      </c>
      <c r="G545" s="2" t="s">
        <v>1103</v>
      </c>
    </row>
    <row r="546" customFormat="false" ht="15" hidden="false" customHeight="false" outlineLevel="0" collapsed="false">
      <c r="A546" s="2" t="s">
        <v>1598</v>
      </c>
      <c r="B546" s="2" t="s">
        <v>924</v>
      </c>
      <c r="C546" s="2" t="s">
        <v>1003</v>
      </c>
      <c r="D546" s="2" t="s">
        <v>992</v>
      </c>
      <c r="E546" s="2" t="s">
        <v>459</v>
      </c>
      <c r="F546" s="2" t="n">
        <v>1</v>
      </c>
      <c r="G546" s="2" t="s">
        <v>1103</v>
      </c>
    </row>
    <row r="547" customFormat="false" ht="15" hidden="false" customHeight="false" outlineLevel="0" collapsed="false">
      <c r="A547" s="2" t="s">
        <v>1599</v>
      </c>
      <c r="B547" s="2" t="s">
        <v>924</v>
      </c>
      <c r="C547" s="2" t="s">
        <v>1010</v>
      </c>
      <c r="D547" s="2" t="s">
        <v>983</v>
      </c>
      <c r="E547" s="2" t="s">
        <v>227</v>
      </c>
      <c r="F547" s="2" t="n">
        <v>1</v>
      </c>
      <c r="G547" s="2" t="s">
        <v>1011</v>
      </c>
    </row>
    <row r="548" customFormat="false" ht="15" hidden="false" customHeight="false" outlineLevel="0" collapsed="false">
      <c r="A548" s="2" t="s">
        <v>1600</v>
      </c>
      <c r="B548" s="2" t="s">
        <v>924</v>
      </c>
      <c r="C548" s="2" t="s">
        <v>1010</v>
      </c>
      <c r="D548" s="2" t="s">
        <v>986</v>
      </c>
      <c r="E548" s="2" t="s">
        <v>347</v>
      </c>
      <c r="F548" s="2" t="n">
        <v>1</v>
      </c>
      <c r="G548" s="2" t="s">
        <v>1013</v>
      </c>
    </row>
    <row r="549" customFormat="false" ht="15" hidden="false" customHeight="false" outlineLevel="0" collapsed="false">
      <c r="A549" s="2" t="s">
        <v>1601</v>
      </c>
      <c r="B549" s="2" t="s">
        <v>924</v>
      </c>
      <c r="C549" s="2" t="s">
        <v>1019</v>
      </c>
      <c r="D549" s="2" t="s">
        <v>989</v>
      </c>
      <c r="E549" s="2" t="s">
        <v>274</v>
      </c>
      <c r="F549" s="2" t="n">
        <v>1</v>
      </c>
      <c r="G549" s="2" t="s">
        <v>1022</v>
      </c>
    </row>
    <row r="550" customFormat="false" ht="15" hidden="false" customHeight="false" outlineLevel="0" collapsed="false">
      <c r="A550" s="2" t="s">
        <v>1602</v>
      </c>
      <c r="B550" s="2" t="s">
        <v>924</v>
      </c>
      <c r="C550" s="2" t="s">
        <v>1026</v>
      </c>
      <c r="D550" s="2" t="s">
        <v>983</v>
      </c>
      <c r="E550" s="2" t="s">
        <v>363</v>
      </c>
      <c r="F550" s="2" t="n">
        <v>1</v>
      </c>
      <c r="G550" s="2" t="s">
        <v>1027</v>
      </c>
    </row>
    <row r="551" customFormat="false" ht="15" hidden="false" customHeight="false" outlineLevel="0" collapsed="false">
      <c r="A551" s="2" t="s">
        <v>1603</v>
      </c>
      <c r="B551" s="2" t="s">
        <v>924</v>
      </c>
      <c r="C551" s="2" t="s">
        <v>1026</v>
      </c>
      <c r="D551" s="2" t="s">
        <v>986</v>
      </c>
      <c r="E551" s="2" t="s">
        <v>227</v>
      </c>
      <c r="F551" s="2" t="n">
        <v>1</v>
      </c>
      <c r="G551" s="2" t="s">
        <v>1029</v>
      </c>
    </row>
    <row r="552" customFormat="false" ht="15" hidden="false" customHeight="false" outlineLevel="0" collapsed="false">
      <c r="A552" s="2" t="s">
        <v>1604</v>
      </c>
      <c r="B552" s="2" t="s">
        <v>924</v>
      </c>
      <c r="C552" s="2" t="s">
        <v>1026</v>
      </c>
      <c r="D552" s="2" t="s">
        <v>992</v>
      </c>
      <c r="E552" s="2" t="s">
        <v>477</v>
      </c>
      <c r="F552" s="2" t="n">
        <v>1</v>
      </c>
      <c r="G552" s="2" t="s">
        <v>1114</v>
      </c>
    </row>
    <row r="553" customFormat="false" ht="15" hidden="false" customHeight="false" outlineLevel="0" collapsed="false">
      <c r="A553" s="2" t="s">
        <v>1605</v>
      </c>
      <c r="B553" s="2" t="s">
        <v>924</v>
      </c>
      <c r="C553" s="2" t="s">
        <v>1026</v>
      </c>
      <c r="D553" s="2" t="s">
        <v>992</v>
      </c>
      <c r="E553" s="2" t="s">
        <v>466</v>
      </c>
      <c r="F553" s="2" t="n">
        <v>1</v>
      </c>
      <c r="G553" s="2" t="s">
        <v>1114</v>
      </c>
    </row>
    <row r="554" customFormat="false" ht="15" hidden="false" customHeight="false" outlineLevel="0" collapsed="false">
      <c r="A554" s="2" t="s">
        <v>1606</v>
      </c>
      <c r="B554" s="2" t="s">
        <v>924</v>
      </c>
      <c r="C554" s="2" t="s">
        <v>1033</v>
      </c>
      <c r="D554" s="2" t="s">
        <v>983</v>
      </c>
      <c r="E554" s="2" t="s">
        <v>286</v>
      </c>
      <c r="F554" s="2" t="n">
        <v>1</v>
      </c>
      <c r="G554" s="2" t="s">
        <v>1034</v>
      </c>
    </row>
    <row r="555" customFormat="false" ht="15" hidden="false" customHeight="false" outlineLevel="0" collapsed="false">
      <c r="A555" s="2" t="s">
        <v>1607</v>
      </c>
      <c r="B555" s="2" t="s">
        <v>924</v>
      </c>
      <c r="C555" s="2" t="s">
        <v>1033</v>
      </c>
      <c r="D555" s="2" t="s">
        <v>986</v>
      </c>
      <c r="E555" s="2" t="s">
        <v>399</v>
      </c>
      <c r="F555" s="2" t="n">
        <v>1</v>
      </c>
      <c r="G555" s="2" t="s">
        <v>1036</v>
      </c>
    </row>
    <row r="556" customFormat="false" ht="15" hidden="false" customHeight="false" outlineLevel="0" collapsed="false">
      <c r="A556" s="2" t="s">
        <v>1608</v>
      </c>
      <c r="B556" s="2" t="s">
        <v>924</v>
      </c>
      <c r="C556" s="2" t="s">
        <v>1033</v>
      </c>
      <c r="D556" s="2" t="s">
        <v>989</v>
      </c>
      <c r="E556" s="2" t="s">
        <v>436</v>
      </c>
      <c r="F556" s="2" t="n">
        <v>1</v>
      </c>
      <c r="G556" s="2" t="s">
        <v>1038</v>
      </c>
    </row>
    <row r="557" customFormat="false" ht="15" hidden="false" customHeight="false" outlineLevel="0" collapsed="false">
      <c r="A557" s="2" t="s">
        <v>1609</v>
      </c>
      <c r="B557" s="2" t="s">
        <v>924</v>
      </c>
      <c r="C557" s="2" t="s">
        <v>1043</v>
      </c>
      <c r="D557" s="2" t="s">
        <v>983</v>
      </c>
      <c r="E557" s="2" t="s">
        <v>341</v>
      </c>
      <c r="F557" s="2" t="n">
        <v>1</v>
      </c>
      <c r="G557" s="2" t="s">
        <v>1044</v>
      </c>
    </row>
    <row r="558" customFormat="false" ht="15" hidden="false" customHeight="false" outlineLevel="0" collapsed="false">
      <c r="A558" s="2" t="s">
        <v>1610</v>
      </c>
      <c r="B558" s="2" t="s">
        <v>924</v>
      </c>
      <c r="C558" s="2" t="s">
        <v>1043</v>
      </c>
      <c r="D558" s="2" t="s">
        <v>986</v>
      </c>
      <c r="E558" s="2" t="s">
        <v>286</v>
      </c>
      <c r="F558" s="2" t="n">
        <v>1</v>
      </c>
      <c r="G558" s="2" t="s">
        <v>1046</v>
      </c>
    </row>
    <row r="559" customFormat="false" ht="15" hidden="false" customHeight="false" outlineLevel="0" collapsed="false">
      <c r="A559" s="2" t="s">
        <v>1611</v>
      </c>
      <c r="B559" s="2" t="s">
        <v>924</v>
      </c>
      <c r="C559" s="2" t="s">
        <v>1043</v>
      </c>
      <c r="D559" s="2" t="s">
        <v>989</v>
      </c>
      <c r="E559" s="2" t="s">
        <v>329</v>
      </c>
      <c r="F559" s="2" t="n">
        <v>1</v>
      </c>
      <c r="G559" s="2" t="s">
        <v>1048</v>
      </c>
    </row>
    <row r="560" customFormat="false" ht="15" hidden="false" customHeight="false" outlineLevel="0" collapsed="false">
      <c r="A560" s="2" t="s">
        <v>1612</v>
      </c>
      <c r="B560" s="2" t="s">
        <v>924</v>
      </c>
      <c r="C560" s="2" t="s">
        <v>1128</v>
      </c>
      <c r="D560" s="2" t="s">
        <v>986</v>
      </c>
      <c r="E560" s="2" t="s">
        <v>335</v>
      </c>
      <c r="F560" s="2" t="n">
        <v>1</v>
      </c>
      <c r="G560" s="2" t="s">
        <v>1131</v>
      </c>
    </row>
    <row r="561" customFormat="false" ht="15" hidden="false" customHeight="false" outlineLevel="0" collapsed="false">
      <c r="A561" s="2" t="s">
        <v>1613</v>
      </c>
      <c r="B561" s="2" t="s">
        <v>924</v>
      </c>
      <c r="C561" s="2" t="s">
        <v>1128</v>
      </c>
      <c r="D561" s="2" t="s">
        <v>989</v>
      </c>
      <c r="E561" s="2" t="s">
        <v>454</v>
      </c>
      <c r="F561" s="2" t="n">
        <v>1</v>
      </c>
      <c r="G561" s="2" t="s">
        <v>1133</v>
      </c>
    </row>
    <row r="562" customFormat="false" ht="15" hidden="false" customHeight="false" outlineLevel="0" collapsed="false">
      <c r="A562" s="2" t="s">
        <v>1614</v>
      </c>
      <c r="B562" s="2" t="s">
        <v>924</v>
      </c>
      <c r="C562" s="2" t="s">
        <v>1128</v>
      </c>
      <c r="D562" s="2" t="s">
        <v>992</v>
      </c>
      <c r="E562" s="2" t="s">
        <v>335</v>
      </c>
      <c r="F562" s="2" t="n">
        <v>1</v>
      </c>
      <c r="G562" s="2" t="s">
        <v>1135</v>
      </c>
    </row>
    <row r="563" customFormat="false" ht="15" hidden="false" customHeight="false" outlineLevel="0" collapsed="false">
      <c r="A563" s="2" t="s">
        <v>1615</v>
      </c>
      <c r="B563" s="2" t="s">
        <v>924</v>
      </c>
      <c r="C563" s="2" t="s">
        <v>1061</v>
      </c>
      <c r="D563" s="2" t="s">
        <v>983</v>
      </c>
      <c r="E563" s="2" t="s">
        <v>256</v>
      </c>
      <c r="F563" s="2" t="n">
        <v>1</v>
      </c>
      <c r="G563" s="2" t="s">
        <v>1062</v>
      </c>
    </row>
    <row r="564" customFormat="false" ht="15" hidden="false" customHeight="false" outlineLevel="0" collapsed="false">
      <c r="A564" s="2" t="s">
        <v>1616</v>
      </c>
      <c r="B564" s="2" t="s">
        <v>924</v>
      </c>
      <c r="C564" s="2" t="s">
        <v>1061</v>
      </c>
      <c r="D564" s="2" t="s">
        <v>986</v>
      </c>
      <c r="E564" s="2" t="s">
        <v>347</v>
      </c>
      <c r="F564" s="2" t="n">
        <v>1</v>
      </c>
      <c r="G564" s="2" t="s">
        <v>1064</v>
      </c>
    </row>
    <row r="565" customFormat="false" ht="15" hidden="false" customHeight="false" outlineLevel="0" collapsed="false">
      <c r="A565" s="2" t="s">
        <v>1617</v>
      </c>
      <c r="B565" s="2" t="s">
        <v>924</v>
      </c>
      <c r="C565" s="2" t="s">
        <v>1061</v>
      </c>
      <c r="D565" s="2" t="s">
        <v>989</v>
      </c>
      <c r="E565" s="2" t="s">
        <v>392</v>
      </c>
      <c r="F565" s="2" t="n">
        <v>1</v>
      </c>
      <c r="G565" s="2" t="s">
        <v>1066</v>
      </c>
    </row>
    <row r="566" customFormat="false" ht="15" hidden="false" customHeight="false" outlineLevel="0" collapsed="false">
      <c r="A566" s="2" t="s">
        <v>1618</v>
      </c>
      <c r="B566" s="2" t="s">
        <v>924</v>
      </c>
      <c r="C566" s="2" t="s">
        <v>1061</v>
      </c>
      <c r="D566" s="2" t="s">
        <v>992</v>
      </c>
      <c r="E566" s="2" t="s">
        <v>466</v>
      </c>
      <c r="F566" s="2" t="n">
        <v>1</v>
      </c>
      <c r="G566" s="2" t="s">
        <v>1068</v>
      </c>
    </row>
    <row r="567" customFormat="false" ht="15" hidden="false" customHeight="false" outlineLevel="0" collapsed="false">
      <c r="A567" s="2" t="s">
        <v>1619</v>
      </c>
      <c r="B567" s="2" t="s">
        <v>924</v>
      </c>
      <c r="C567" s="2" t="s">
        <v>1061</v>
      </c>
      <c r="D567" s="2" t="s">
        <v>992</v>
      </c>
      <c r="E567" s="2" t="s">
        <v>335</v>
      </c>
      <c r="F567" s="2" t="n">
        <v>1</v>
      </c>
      <c r="G567" s="2" t="s">
        <v>1068</v>
      </c>
    </row>
    <row r="568" customFormat="false" ht="15" hidden="false" customHeight="false" outlineLevel="0" collapsed="false">
      <c r="A568" s="2" t="s">
        <v>1620</v>
      </c>
      <c r="B568" s="2" t="s">
        <v>924</v>
      </c>
      <c r="C568" s="2" t="s">
        <v>1071</v>
      </c>
      <c r="D568" s="2" t="s">
        <v>983</v>
      </c>
      <c r="E568" s="2" t="s">
        <v>262</v>
      </c>
      <c r="F568" s="2" t="n">
        <v>1</v>
      </c>
      <c r="G568" s="2" t="s">
        <v>1138</v>
      </c>
    </row>
    <row r="569" customFormat="false" ht="15" hidden="false" customHeight="false" outlineLevel="0" collapsed="false">
      <c r="A569" s="2" t="s">
        <v>1621</v>
      </c>
      <c r="B569" s="2" t="s">
        <v>924</v>
      </c>
      <c r="C569" s="2" t="s">
        <v>1071</v>
      </c>
      <c r="D569" s="2" t="s">
        <v>986</v>
      </c>
      <c r="E569" s="2" t="s">
        <v>304</v>
      </c>
      <c r="F569" s="2" t="n">
        <v>1</v>
      </c>
      <c r="G569" s="2" t="s">
        <v>1072</v>
      </c>
    </row>
    <row r="570" customFormat="false" ht="15" hidden="false" customHeight="false" outlineLevel="0" collapsed="false">
      <c r="A570" s="2" t="s">
        <v>1622</v>
      </c>
      <c r="B570" s="2" t="s">
        <v>924</v>
      </c>
      <c r="C570" s="2" t="s">
        <v>1071</v>
      </c>
      <c r="D570" s="2" t="s">
        <v>989</v>
      </c>
      <c r="E570" s="2" t="s">
        <v>262</v>
      </c>
      <c r="F570" s="2" t="n">
        <v>1</v>
      </c>
      <c r="G570" s="2" t="s">
        <v>1074</v>
      </c>
    </row>
    <row r="571" customFormat="false" ht="15" hidden="false" customHeight="false" outlineLevel="0" collapsed="false">
      <c r="A571" s="2" t="s">
        <v>1623</v>
      </c>
      <c r="B571" s="2" t="s">
        <v>924</v>
      </c>
      <c r="C571" s="2" t="s">
        <v>220</v>
      </c>
      <c r="D571" s="2" t="s">
        <v>983</v>
      </c>
      <c r="E571" s="2" t="s">
        <v>323</v>
      </c>
      <c r="F571" s="2" t="n">
        <v>1</v>
      </c>
      <c r="G571" s="2" t="s">
        <v>1076</v>
      </c>
    </row>
    <row r="572" customFormat="false" ht="15" hidden="false" customHeight="false" outlineLevel="0" collapsed="false">
      <c r="A572" s="2" t="s">
        <v>1624</v>
      </c>
      <c r="B572" s="2" t="s">
        <v>924</v>
      </c>
      <c r="C572" s="2" t="s">
        <v>220</v>
      </c>
      <c r="D572" s="2" t="s">
        <v>986</v>
      </c>
      <c r="E572" s="2" t="s">
        <v>286</v>
      </c>
      <c r="F572" s="2" t="n">
        <v>1</v>
      </c>
      <c r="G572" s="2" t="s">
        <v>1078</v>
      </c>
    </row>
    <row r="573" customFormat="false" ht="15" hidden="false" customHeight="false" outlineLevel="0" collapsed="false">
      <c r="A573" s="2" t="s">
        <v>1625</v>
      </c>
      <c r="B573" s="2" t="s">
        <v>924</v>
      </c>
      <c r="C573" s="2" t="s">
        <v>220</v>
      </c>
      <c r="D573" s="2" t="s">
        <v>989</v>
      </c>
      <c r="E573" s="2" t="s">
        <v>369</v>
      </c>
      <c r="F573" s="2" t="n">
        <v>1</v>
      </c>
      <c r="G573" s="2" t="s">
        <v>1080</v>
      </c>
    </row>
    <row r="574" customFormat="false" ht="15" hidden="false" customHeight="false" outlineLevel="0" collapsed="false">
      <c r="A574" s="2" t="s">
        <v>1626</v>
      </c>
      <c r="B574" s="2" t="s">
        <v>924</v>
      </c>
      <c r="C574" s="2" t="s">
        <v>220</v>
      </c>
      <c r="D574" s="2" t="s">
        <v>992</v>
      </c>
      <c r="E574" s="2" t="s">
        <v>335</v>
      </c>
      <c r="F574" s="2" t="n">
        <v>1</v>
      </c>
      <c r="G574" s="2" t="s">
        <v>1082</v>
      </c>
    </row>
    <row r="575" customFormat="false" ht="15" hidden="false" customHeight="false" outlineLevel="0" collapsed="false">
      <c r="A575" s="2" t="s">
        <v>1627</v>
      </c>
      <c r="B575" s="2" t="s">
        <v>927</v>
      </c>
      <c r="C575" s="2" t="s">
        <v>1085</v>
      </c>
      <c r="D575" s="2" t="s">
        <v>983</v>
      </c>
      <c r="E575" s="2" t="s">
        <v>317</v>
      </c>
      <c r="F575" s="2" t="n">
        <v>1</v>
      </c>
      <c r="G575" s="2" t="s">
        <v>1086</v>
      </c>
    </row>
    <row r="576" customFormat="false" ht="15" hidden="false" customHeight="false" outlineLevel="0" collapsed="false">
      <c r="A576" s="2" t="s">
        <v>1628</v>
      </c>
      <c r="B576" s="2" t="s">
        <v>927</v>
      </c>
      <c r="C576" s="2" t="s">
        <v>1085</v>
      </c>
      <c r="D576" s="2" t="s">
        <v>986</v>
      </c>
      <c r="E576" s="2" t="s">
        <v>256</v>
      </c>
      <c r="F576" s="2" t="n">
        <v>1</v>
      </c>
      <c r="G576" s="2" t="s">
        <v>1088</v>
      </c>
    </row>
    <row r="577" customFormat="false" ht="15" hidden="false" customHeight="false" outlineLevel="0" collapsed="false">
      <c r="A577" s="2" t="s">
        <v>1629</v>
      </c>
      <c r="B577" s="2" t="s">
        <v>927</v>
      </c>
      <c r="C577" s="2" t="s">
        <v>1085</v>
      </c>
      <c r="D577" s="2" t="s">
        <v>989</v>
      </c>
      <c r="E577" s="2" t="s">
        <v>317</v>
      </c>
      <c r="F577" s="2" t="n">
        <v>1</v>
      </c>
      <c r="G577" s="2" t="s">
        <v>1090</v>
      </c>
    </row>
    <row r="578" customFormat="false" ht="15" hidden="false" customHeight="false" outlineLevel="0" collapsed="false">
      <c r="A578" s="2" t="s">
        <v>1630</v>
      </c>
      <c r="B578" s="2" t="s">
        <v>927</v>
      </c>
      <c r="C578" s="2" t="s">
        <v>1085</v>
      </c>
      <c r="D578" s="2" t="s">
        <v>992</v>
      </c>
      <c r="E578" s="2" t="s">
        <v>466</v>
      </c>
      <c r="F578" s="2" t="n">
        <v>1</v>
      </c>
      <c r="G578" s="2" t="s">
        <v>1092</v>
      </c>
    </row>
    <row r="579" customFormat="false" ht="15" hidden="false" customHeight="false" outlineLevel="0" collapsed="false">
      <c r="A579" s="2" t="s">
        <v>1631</v>
      </c>
      <c r="B579" s="2" t="s">
        <v>927</v>
      </c>
      <c r="C579" s="2" t="s">
        <v>1085</v>
      </c>
      <c r="D579" s="2" t="s">
        <v>992</v>
      </c>
      <c r="E579" s="2" t="s">
        <v>472</v>
      </c>
      <c r="F579" s="2" t="n">
        <v>1</v>
      </c>
      <c r="G579" s="2" t="s">
        <v>1092</v>
      </c>
    </row>
    <row r="580" customFormat="false" ht="15" hidden="false" customHeight="false" outlineLevel="0" collapsed="false">
      <c r="A580" s="2" t="s">
        <v>1632</v>
      </c>
      <c r="B580" s="2" t="s">
        <v>927</v>
      </c>
      <c r="C580" s="2" t="s">
        <v>982</v>
      </c>
      <c r="D580" s="2" t="s">
        <v>983</v>
      </c>
      <c r="E580" s="2" t="s">
        <v>347</v>
      </c>
      <c r="F580" s="2" t="n">
        <v>1</v>
      </c>
      <c r="G580" s="2" t="s">
        <v>984</v>
      </c>
    </row>
    <row r="581" customFormat="false" ht="15" hidden="false" customHeight="false" outlineLevel="0" collapsed="false">
      <c r="A581" s="2" t="s">
        <v>1633</v>
      </c>
      <c r="B581" s="2" t="s">
        <v>927</v>
      </c>
      <c r="C581" s="2" t="s">
        <v>982</v>
      </c>
      <c r="D581" s="2" t="s">
        <v>986</v>
      </c>
      <c r="E581" s="2" t="s">
        <v>399</v>
      </c>
      <c r="F581" s="2" t="n">
        <v>1</v>
      </c>
      <c r="G581" s="2" t="s">
        <v>987</v>
      </c>
    </row>
    <row r="582" customFormat="false" ht="15" hidden="false" customHeight="false" outlineLevel="0" collapsed="false">
      <c r="A582" s="2" t="s">
        <v>1634</v>
      </c>
      <c r="B582" s="2" t="s">
        <v>927</v>
      </c>
      <c r="C582" s="2" t="s">
        <v>982</v>
      </c>
      <c r="D582" s="2" t="s">
        <v>989</v>
      </c>
      <c r="E582" s="2" t="s">
        <v>374</v>
      </c>
      <c r="F582" s="2" t="n">
        <v>1</v>
      </c>
      <c r="G582" s="2" t="s">
        <v>990</v>
      </c>
    </row>
    <row r="583" customFormat="false" ht="15" hidden="false" customHeight="false" outlineLevel="0" collapsed="false">
      <c r="A583" s="2" t="s">
        <v>1635</v>
      </c>
      <c r="B583" s="2" t="s">
        <v>927</v>
      </c>
      <c r="C583" s="2" t="s">
        <v>982</v>
      </c>
      <c r="D583" s="2" t="s">
        <v>992</v>
      </c>
      <c r="E583" s="2" t="s">
        <v>496</v>
      </c>
      <c r="F583" s="2" t="n">
        <v>1</v>
      </c>
      <c r="G583" s="2" t="s">
        <v>993</v>
      </c>
    </row>
    <row r="584" customFormat="false" ht="15" hidden="false" customHeight="false" outlineLevel="0" collapsed="false">
      <c r="A584" s="2" t="s">
        <v>1636</v>
      </c>
      <c r="B584" s="2" t="s">
        <v>927</v>
      </c>
      <c r="C584" s="2" t="s">
        <v>996</v>
      </c>
      <c r="D584" s="2" t="s">
        <v>983</v>
      </c>
      <c r="E584" s="2" t="s">
        <v>262</v>
      </c>
      <c r="F584" s="2" t="n">
        <v>1</v>
      </c>
      <c r="G584" s="2" t="s">
        <v>997</v>
      </c>
    </row>
    <row r="585" customFormat="false" ht="15" hidden="false" customHeight="false" outlineLevel="0" collapsed="false">
      <c r="A585" s="2" t="s">
        <v>1637</v>
      </c>
      <c r="B585" s="2" t="s">
        <v>927</v>
      </c>
      <c r="C585" s="2" t="s">
        <v>996</v>
      </c>
      <c r="D585" s="2" t="s">
        <v>989</v>
      </c>
      <c r="E585" s="2" t="s">
        <v>227</v>
      </c>
      <c r="F585" s="2" t="n">
        <v>1</v>
      </c>
      <c r="G585" s="2" t="s">
        <v>1001</v>
      </c>
    </row>
    <row r="586" customFormat="false" ht="15" hidden="false" customHeight="false" outlineLevel="0" collapsed="false">
      <c r="A586" s="2" t="s">
        <v>1638</v>
      </c>
      <c r="B586" s="2" t="s">
        <v>927</v>
      </c>
      <c r="C586" s="2" t="s">
        <v>1003</v>
      </c>
      <c r="D586" s="2" t="s">
        <v>983</v>
      </c>
      <c r="E586" s="2" t="s">
        <v>221</v>
      </c>
      <c r="F586" s="2" t="n">
        <v>1</v>
      </c>
      <c r="G586" s="2" t="s">
        <v>1004</v>
      </c>
    </row>
    <row r="587" customFormat="false" ht="15" hidden="false" customHeight="false" outlineLevel="0" collapsed="false">
      <c r="A587" s="2" t="s">
        <v>1639</v>
      </c>
      <c r="B587" s="2" t="s">
        <v>927</v>
      </c>
      <c r="C587" s="2" t="s">
        <v>1003</v>
      </c>
      <c r="D587" s="2" t="s">
        <v>986</v>
      </c>
      <c r="E587" s="2" t="s">
        <v>239</v>
      </c>
      <c r="F587" s="2" t="n">
        <v>1</v>
      </c>
      <c r="G587" s="2" t="s">
        <v>1006</v>
      </c>
    </row>
    <row r="588" customFormat="false" ht="15" hidden="false" customHeight="false" outlineLevel="0" collapsed="false">
      <c r="A588" s="2" t="s">
        <v>1640</v>
      </c>
      <c r="B588" s="2" t="s">
        <v>927</v>
      </c>
      <c r="C588" s="2" t="s">
        <v>1003</v>
      </c>
      <c r="D588" s="2" t="s">
        <v>989</v>
      </c>
      <c r="E588" s="2" t="s">
        <v>392</v>
      </c>
      <c r="F588" s="2" t="n">
        <v>1</v>
      </c>
      <c r="G588" s="2" t="s">
        <v>1008</v>
      </c>
    </row>
    <row r="589" customFormat="false" ht="15" hidden="false" customHeight="false" outlineLevel="0" collapsed="false">
      <c r="A589" s="2" t="s">
        <v>1641</v>
      </c>
      <c r="B589" s="2" t="s">
        <v>927</v>
      </c>
      <c r="C589" s="2" t="s">
        <v>1003</v>
      </c>
      <c r="D589" s="2" t="s">
        <v>992</v>
      </c>
      <c r="E589" s="2" t="s">
        <v>466</v>
      </c>
      <c r="F589" s="2" t="n">
        <v>1</v>
      </c>
      <c r="G589" s="2" t="s">
        <v>1103</v>
      </c>
    </row>
    <row r="590" customFormat="false" ht="15" hidden="false" customHeight="false" outlineLevel="0" collapsed="false">
      <c r="A590" s="2" t="s">
        <v>1642</v>
      </c>
      <c r="B590" s="2" t="s">
        <v>927</v>
      </c>
      <c r="C590" s="2" t="s">
        <v>1010</v>
      </c>
      <c r="D590" s="2" t="s">
        <v>986</v>
      </c>
      <c r="E590" s="2" t="s">
        <v>374</v>
      </c>
      <c r="F590" s="2" t="n">
        <v>1</v>
      </c>
      <c r="G590" s="2" t="s">
        <v>1013</v>
      </c>
    </row>
    <row r="591" customFormat="false" ht="15" hidden="false" customHeight="false" outlineLevel="0" collapsed="false">
      <c r="A591" s="2" t="s">
        <v>1643</v>
      </c>
      <c r="B591" s="2" t="s">
        <v>927</v>
      </c>
      <c r="C591" s="2" t="s">
        <v>1010</v>
      </c>
      <c r="D591" s="2" t="s">
        <v>989</v>
      </c>
      <c r="E591" s="2" t="s">
        <v>357</v>
      </c>
      <c r="F591" s="2" t="n">
        <v>1</v>
      </c>
      <c r="G591" s="2" t="s">
        <v>1015</v>
      </c>
    </row>
    <row r="592" customFormat="false" ht="15" hidden="false" customHeight="false" outlineLevel="0" collapsed="false">
      <c r="A592" s="2" t="s">
        <v>1644</v>
      </c>
      <c r="B592" s="2" t="s">
        <v>927</v>
      </c>
      <c r="C592" s="2" t="s">
        <v>1019</v>
      </c>
      <c r="D592" s="2" t="s">
        <v>983</v>
      </c>
      <c r="E592" s="2" t="s">
        <v>298</v>
      </c>
      <c r="F592" s="2" t="n">
        <v>1</v>
      </c>
      <c r="G592" s="2" t="s">
        <v>1107</v>
      </c>
    </row>
    <row r="593" customFormat="false" ht="15" hidden="false" customHeight="false" outlineLevel="0" collapsed="false">
      <c r="A593" s="2" t="s">
        <v>1645</v>
      </c>
      <c r="B593" s="2" t="s">
        <v>927</v>
      </c>
      <c r="C593" s="2" t="s">
        <v>1019</v>
      </c>
      <c r="D593" s="2" t="s">
        <v>986</v>
      </c>
      <c r="E593" s="2" t="s">
        <v>341</v>
      </c>
      <c r="F593" s="2" t="n">
        <v>1</v>
      </c>
      <c r="G593" s="2" t="s">
        <v>1020</v>
      </c>
    </row>
    <row r="594" customFormat="false" ht="15" hidden="false" customHeight="false" outlineLevel="0" collapsed="false">
      <c r="A594" s="2" t="s">
        <v>1646</v>
      </c>
      <c r="B594" s="2" t="s">
        <v>927</v>
      </c>
      <c r="C594" s="2" t="s">
        <v>1019</v>
      </c>
      <c r="D594" s="2" t="s">
        <v>989</v>
      </c>
      <c r="E594" s="2" t="s">
        <v>221</v>
      </c>
      <c r="F594" s="2" t="n">
        <v>1</v>
      </c>
      <c r="G594" s="2" t="s">
        <v>1022</v>
      </c>
    </row>
    <row r="595" customFormat="false" ht="15" hidden="false" customHeight="false" outlineLevel="0" collapsed="false">
      <c r="A595" s="2" t="s">
        <v>1647</v>
      </c>
      <c r="B595" s="2" t="s">
        <v>927</v>
      </c>
      <c r="C595" s="2" t="s">
        <v>1019</v>
      </c>
      <c r="D595" s="2" t="s">
        <v>992</v>
      </c>
      <c r="E595" s="2" t="s">
        <v>335</v>
      </c>
      <c r="F595" s="2" t="n">
        <v>1</v>
      </c>
      <c r="G595" s="2" t="s">
        <v>1024</v>
      </c>
    </row>
    <row r="596" customFormat="false" ht="15" hidden="false" customHeight="false" outlineLevel="0" collapsed="false">
      <c r="A596" s="2" t="s">
        <v>1648</v>
      </c>
      <c r="B596" s="2" t="s">
        <v>927</v>
      </c>
      <c r="C596" s="2" t="s">
        <v>1033</v>
      </c>
      <c r="D596" s="2" t="s">
        <v>983</v>
      </c>
      <c r="E596" s="2" t="s">
        <v>304</v>
      </c>
      <c r="F596" s="2" t="n">
        <v>1</v>
      </c>
      <c r="G596" s="2" t="s">
        <v>1034</v>
      </c>
    </row>
    <row r="597" customFormat="false" ht="15" hidden="false" customHeight="false" outlineLevel="0" collapsed="false">
      <c r="A597" s="2" t="s">
        <v>1649</v>
      </c>
      <c r="B597" s="2" t="s">
        <v>927</v>
      </c>
      <c r="C597" s="2" t="s">
        <v>1033</v>
      </c>
      <c r="D597" s="2" t="s">
        <v>986</v>
      </c>
      <c r="E597" s="2" t="s">
        <v>347</v>
      </c>
      <c r="F597" s="2" t="n">
        <v>1</v>
      </c>
      <c r="G597" s="2" t="s">
        <v>1036</v>
      </c>
    </row>
    <row r="598" customFormat="false" ht="15" hidden="false" customHeight="false" outlineLevel="0" collapsed="false">
      <c r="A598" s="2" t="s">
        <v>1650</v>
      </c>
      <c r="B598" s="2" t="s">
        <v>927</v>
      </c>
      <c r="C598" s="2" t="s">
        <v>1033</v>
      </c>
      <c r="D598" s="2" t="s">
        <v>989</v>
      </c>
      <c r="E598" s="2" t="s">
        <v>245</v>
      </c>
      <c r="F598" s="2" t="n">
        <v>1</v>
      </c>
      <c r="G598" s="2" t="s">
        <v>1038</v>
      </c>
    </row>
    <row r="599" customFormat="false" ht="15" hidden="false" customHeight="false" outlineLevel="0" collapsed="false">
      <c r="A599" s="2" t="s">
        <v>1651</v>
      </c>
      <c r="B599" s="2" t="s">
        <v>927</v>
      </c>
      <c r="C599" s="2" t="s">
        <v>1043</v>
      </c>
      <c r="D599" s="2" t="s">
        <v>983</v>
      </c>
      <c r="E599" s="2" t="s">
        <v>256</v>
      </c>
      <c r="F599" s="2" t="n">
        <v>1</v>
      </c>
      <c r="G599" s="2" t="s">
        <v>1044</v>
      </c>
    </row>
    <row r="600" customFormat="false" ht="15" hidden="false" customHeight="false" outlineLevel="0" collapsed="false">
      <c r="A600" s="2" t="s">
        <v>1652</v>
      </c>
      <c r="B600" s="2" t="s">
        <v>927</v>
      </c>
      <c r="C600" s="2" t="s">
        <v>1043</v>
      </c>
      <c r="D600" s="2" t="s">
        <v>986</v>
      </c>
      <c r="E600" s="2" t="s">
        <v>352</v>
      </c>
      <c r="F600" s="2" t="n">
        <v>1</v>
      </c>
      <c r="G600" s="2" t="s">
        <v>1046</v>
      </c>
    </row>
    <row r="601" customFormat="false" ht="15" hidden="false" customHeight="false" outlineLevel="0" collapsed="false">
      <c r="A601" s="2" t="s">
        <v>1653</v>
      </c>
      <c r="B601" s="2" t="s">
        <v>927</v>
      </c>
      <c r="C601" s="2" t="s">
        <v>1043</v>
      </c>
      <c r="D601" s="2" t="s">
        <v>989</v>
      </c>
      <c r="E601" s="2" t="s">
        <v>280</v>
      </c>
      <c r="F601" s="2" t="n">
        <v>1</v>
      </c>
      <c r="G601" s="2" t="s">
        <v>1048</v>
      </c>
    </row>
    <row r="602" customFormat="false" ht="15" hidden="false" customHeight="false" outlineLevel="0" collapsed="false">
      <c r="A602" s="2" t="s">
        <v>1654</v>
      </c>
      <c r="B602" s="2" t="s">
        <v>927</v>
      </c>
      <c r="C602" s="2" t="s">
        <v>1043</v>
      </c>
      <c r="D602" s="2" t="s">
        <v>992</v>
      </c>
      <c r="E602" s="2" t="s">
        <v>496</v>
      </c>
      <c r="F602" s="2" t="n">
        <v>1</v>
      </c>
      <c r="G602" s="2" t="s">
        <v>1050</v>
      </c>
    </row>
    <row r="603" customFormat="false" ht="15" hidden="false" customHeight="false" outlineLevel="0" collapsed="false">
      <c r="A603" s="2" t="s">
        <v>1655</v>
      </c>
      <c r="B603" s="2" t="s">
        <v>927</v>
      </c>
      <c r="C603" s="2" t="s">
        <v>1052</v>
      </c>
      <c r="D603" s="2" t="s">
        <v>983</v>
      </c>
      <c r="E603" s="2" t="s">
        <v>311</v>
      </c>
      <c r="F603" s="2" t="n">
        <v>1</v>
      </c>
      <c r="G603" s="2" t="s">
        <v>1053</v>
      </c>
    </row>
    <row r="604" customFormat="false" ht="15" hidden="false" customHeight="false" outlineLevel="0" collapsed="false">
      <c r="A604" s="2" t="s">
        <v>1656</v>
      </c>
      <c r="B604" s="2" t="s">
        <v>927</v>
      </c>
      <c r="C604" s="2" t="s">
        <v>1052</v>
      </c>
      <c r="D604" s="2" t="s">
        <v>986</v>
      </c>
      <c r="E604" s="2" t="s">
        <v>335</v>
      </c>
      <c r="F604" s="2" t="n">
        <v>1</v>
      </c>
      <c r="G604" s="2" t="s">
        <v>1055</v>
      </c>
    </row>
    <row r="605" customFormat="false" ht="15" hidden="false" customHeight="false" outlineLevel="0" collapsed="false">
      <c r="A605" s="2" t="s">
        <v>1657</v>
      </c>
      <c r="B605" s="2" t="s">
        <v>927</v>
      </c>
      <c r="C605" s="2" t="s">
        <v>1052</v>
      </c>
      <c r="D605" s="2" t="s">
        <v>989</v>
      </c>
      <c r="E605" s="2" t="s">
        <v>363</v>
      </c>
      <c r="F605" s="2" t="n">
        <v>1</v>
      </c>
      <c r="G605" s="2" t="s">
        <v>1057</v>
      </c>
    </row>
    <row r="606" customFormat="false" ht="15" hidden="false" customHeight="false" outlineLevel="0" collapsed="false">
      <c r="A606" s="2" t="s">
        <v>1658</v>
      </c>
      <c r="B606" s="2" t="s">
        <v>927</v>
      </c>
      <c r="C606" s="2" t="s">
        <v>1128</v>
      </c>
      <c r="D606" s="2" t="s">
        <v>983</v>
      </c>
      <c r="E606" s="2" t="s">
        <v>245</v>
      </c>
      <c r="F606" s="2" t="n">
        <v>1</v>
      </c>
      <c r="G606" s="2" t="s">
        <v>1129</v>
      </c>
    </row>
    <row r="607" customFormat="false" ht="15" hidden="false" customHeight="false" outlineLevel="0" collapsed="false">
      <c r="A607" s="2" t="s">
        <v>1659</v>
      </c>
      <c r="B607" s="2" t="s">
        <v>927</v>
      </c>
      <c r="C607" s="2" t="s">
        <v>1128</v>
      </c>
      <c r="D607" s="2" t="s">
        <v>986</v>
      </c>
      <c r="E607" s="2" t="s">
        <v>221</v>
      </c>
      <c r="F607" s="2" t="n">
        <v>1</v>
      </c>
      <c r="G607" s="2" t="s">
        <v>1131</v>
      </c>
    </row>
    <row r="608" customFormat="false" ht="15" hidden="false" customHeight="false" outlineLevel="0" collapsed="false">
      <c r="A608" s="2" t="s">
        <v>1660</v>
      </c>
      <c r="B608" s="2" t="s">
        <v>927</v>
      </c>
      <c r="C608" s="2" t="s">
        <v>1128</v>
      </c>
      <c r="D608" s="2" t="s">
        <v>989</v>
      </c>
      <c r="E608" s="2" t="s">
        <v>363</v>
      </c>
      <c r="F608" s="2" t="n">
        <v>1</v>
      </c>
      <c r="G608" s="2" t="s">
        <v>1133</v>
      </c>
    </row>
    <row r="609" customFormat="false" ht="15" hidden="false" customHeight="false" outlineLevel="0" collapsed="false">
      <c r="A609" s="2" t="s">
        <v>1661</v>
      </c>
      <c r="B609" s="2" t="s">
        <v>927</v>
      </c>
      <c r="C609" s="2" t="s">
        <v>1128</v>
      </c>
      <c r="D609" s="2" t="s">
        <v>992</v>
      </c>
      <c r="E609" s="2" t="s">
        <v>335</v>
      </c>
      <c r="F609" s="2" t="n">
        <v>1</v>
      </c>
      <c r="G609" s="2" t="s">
        <v>1135</v>
      </c>
    </row>
    <row r="610" customFormat="false" ht="15" hidden="false" customHeight="false" outlineLevel="0" collapsed="false">
      <c r="A610" s="2" t="s">
        <v>1662</v>
      </c>
      <c r="B610" s="2" t="s">
        <v>927</v>
      </c>
      <c r="C610" s="2" t="s">
        <v>1061</v>
      </c>
      <c r="D610" s="2" t="s">
        <v>983</v>
      </c>
      <c r="E610" s="2" t="s">
        <v>256</v>
      </c>
      <c r="F610" s="2" t="n">
        <v>1</v>
      </c>
      <c r="G610" s="2" t="s">
        <v>1062</v>
      </c>
    </row>
    <row r="611" customFormat="false" ht="15" hidden="false" customHeight="false" outlineLevel="0" collapsed="false">
      <c r="A611" s="2" t="s">
        <v>1663</v>
      </c>
      <c r="B611" s="2" t="s">
        <v>927</v>
      </c>
      <c r="C611" s="2" t="s">
        <v>1061</v>
      </c>
      <c r="D611" s="2" t="s">
        <v>986</v>
      </c>
      <c r="E611" s="2" t="s">
        <v>323</v>
      </c>
      <c r="F611" s="2" t="n">
        <v>1</v>
      </c>
      <c r="G611" s="2" t="s">
        <v>1064</v>
      </c>
    </row>
    <row r="612" customFormat="false" ht="15" hidden="false" customHeight="false" outlineLevel="0" collapsed="false">
      <c r="A612" s="2" t="s">
        <v>1664</v>
      </c>
      <c r="B612" s="2" t="s">
        <v>927</v>
      </c>
      <c r="C612" s="2" t="s">
        <v>1061</v>
      </c>
      <c r="D612" s="2" t="s">
        <v>989</v>
      </c>
      <c r="E612" s="2" t="s">
        <v>442</v>
      </c>
      <c r="F612" s="2" t="n">
        <v>1</v>
      </c>
      <c r="G612" s="2" t="s">
        <v>1066</v>
      </c>
    </row>
    <row r="613" customFormat="false" ht="15" hidden="false" customHeight="false" outlineLevel="0" collapsed="false">
      <c r="A613" s="2" t="s">
        <v>1665</v>
      </c>
      <c r="B613" s="2" t="s">
        <v>927</v>
      </c>
      <c r="C613" s="2" t="s">
        <v>1061</v>
      </c>
      <c r="D613" s="2" t="s">
        <v>992</v>
      </c>
      <c r="E613" s="2" t="s">
        <v>335</v>
      </c>
      <c r="F613" s="2" t="n">
        <v>1</v>
      </c>
      <c r="G613" s="2" t="s">
        <v>1068</v>
      </c>
    </row>
    <row r="614" customFormat="false" ht="15" hidden="false" customHeight="false" outlineLevel="0" collapsed="false">
      <c r="A614" s="2" t="s">
        <v>1666</v>
      </c>
      <c r="B614" s="2" t="s">
        <v>927</v>
      </c>
      <c r="C614" s="2" t="s">
        <v>1061</v>
      </c>
      <c r="D614" s="2" t="s">
        <v>992</v>
      </c>
      <c r="E614" s="2" t="s">
        <v>484</v>
      </c>
      <c r="F614" s="2" t="n">
        <v>1</v>
      </c>
      <c r="G614" s="2" t="s">
        <v>1068</v>
      </c>
    </row>
    <row r="615" customFormat="false" ht="15" hidden="false" customHeight="false" outlineLevel="0" collapsed="false">
      <c r="A615" s="2" t="s">
        <v>1667</v>
      </c>
      <c r="B615" s="2" t="s">
        <v>927</v>
      </c>
      <c r="C615" s="2" t="s">
        <v>1071</v>
      </c>
      <c r="D615" s="2" t="s">
        <v>986</v>
      </c>
      <c r="E615" s="2" t="s">
        <v>352</v>
      </c>
      <c r="F615" s="2" t="n">
        <v>1</v>
      </c>
      <c r="G615" s="2" t="s">
        <v>1072</v>
      </c>
    </row>
    <row r="616" customFormat="false" ht="15" hidden="false" customHeight="false" outlineLevel="0" collapsed="false">
      <c r="A616" s="2" t="s">
        <v>1668</v>
      </c>
      <c r="B616" s="2" t="s">
        <v>927</v>
      </c>
      <c r="C616" s="2" t="s">
        <v>1071</v>
      </c>
      <c r="D616" s="2" t="s">
        <v>989</v>
      </c>
      <c r="E616" s="2" t="s">
        <v>341</v>
      </c>
      <c r="F616" s="2" t="n">
        <v>1</v>
      </c>
      <c r="G616" s="2" t="s">
        <v>1074</v>
      </c>
    </row>
    <row r="617" customFormat="false" ht="15" hidden="false" customHeight="false" outlineLevel="0" collapsed="false">
      <c r="A617" s="2" t="s">
        <v>1669</v>
      </c>
      <c r="B617" s="2" t="s">
        <v>927</v>
      </c>
      <c r="C617" s="2" t="s">
        <v>220</v>
      </c>
      <c r="D617" s="2" t="s">
        <v>986</v>
      </c>
      <c r="E617" s="2" t="s">
        <v>341</v>
      </c>
      <c r="F617" s="2" t="n">
        <v>1</v>
      </c>
      <c r="G617" s="2" t="s">
        <v>1078</v>
      </c>
    </row>
    <row r="618" customFormat="false" ht="15" hidden="false" customHeight="false" outlineLevel="0" collapsed="false">
      <c r="A618" s="2" t="s">
        <v>1670</v>
      </c>
      <c r="B618" s="2" t="s">
        <v>927</v>
      </c>
      <c r="C618" s="2" t="s">
        <v>220</v>
      </c>
      <c r="D618" s="2" t="s">
        <v>989</v>
      </c>
      <c r="E618" s="2" t="s">
        <v>323</v>
      </c>
      <c r="F618" s="2" t="n">
        <v>1</v>
      </c>
      <c r="G618" s="2" t="s">
        <v>1080</v>
      </c>
    </row>
    <row r="619" customFormat="false" ht="15" hidden="false" customHeight="false" outlineLevel="0" collapsed="false">
      <c r="A619" s="2" t="s">
        <v>1671</v>
      </c>
      <c r="B619" s="2" t="s">
        <v>927</v>
      </c>
      <c r="C619" s="2" t="s">
        <v>220</v>
      </c>
      <c r="D619" s="2" t="s">
        <v>992</v>
      </c>
      <c r="E619" s="2" t="s">
        <v>369</v>
      </c>
      <c r="F619" s="2" t="n">
        <v>1</v>
      </c>
      <c r="G619" s="2" t="s">
        <v>1082</v>
      </c>
    </row>
    <row r="620" customFormat="false" ht="15" hidden="false" customHeight="false" outlineLevel="0" collapsed="false">
      <c r="A620" s="2" t="s">
        <v>1672</v>
      </c>
      <c r="B620" s="2" t="s">
        <v>930</v>
      </c>
      <c r="C620" s="2" t="s">
        <v>1085</v>
      </c>
      <c r="D620" s="2" t="s">
        <v>983</v>
      </c>
      <c r="E620" s="2" t="s">
        <v>484</v>
      </c>
      <c r="F620" s="2" t="n">
        <v>1</v>
      </c>
      <c r="G620" s="2" t="s">
        <v>1086</v>
      </c>
    </row>
    <row r="621" customFormat="false" ht="15" hidden="false" customHeight="false" outlineLevel="0" collapsed="false">
      <c r="A621" s="2" t="s">
        <v>1673</v>
      </c>
      <c r="B621" s="2" t="s">
        <v>930</v>
      </c>
      <c r="C621" s="2" t="s">
        <v>1085</v>
      </c>
      <c r="D621" s="2" t="s">
        <v>986</v>
      </c>
      <c r="E621" s="2" t="s">
        <v>304</v>
      </c>
      <c r="F621" s="2" t="n">
        <v>1</v>
      </c>
      <c r="G621" s="2" t="s">
        <v>1088</v>
      </c>
    </row>
    <row r="622" customFormat="false" ht="15" hidden="false" customHeight="false" outlineLevel="0" collapsed="false">
      <c r="A622" s="2" t="s">
        <v>1674</v>
      </c>
      <c r="B622" s="2" t="s">
        <v>930</v>
      </c>
      <c r="C622" s="2" t="s">
        <v>1085</v>
      </c>
      <c r="D622" s="2" t="s">
        <v>989</v>
      </c>
      <c r="E622" s="2" t="s">
        <v>245</v>
      </c>
      <c r="F622" s="2" t="n">
        <v>1</v>
      </c>
      <c r="G622" s="2" t="s">
        <v>1090</v>
      </c>
    </row>
    <row r="623" customFormat="false" ht="15" hidden="false" customHeight="false" outlineLevel="0" collapsed="false">
      <c r="A623" s="2" t="s">
        <v>1675</v>
      </c>
      <c r="B623" s="2" t="s">
        <v>930</v>
      </c>
      <c r="C623" s="2" t="s">
        <v>1085</v>
      </c>
      <c r="D623" s="2" t="s">
        <v>992</v>
      </c>
      <c r="E623" s="2" t="s">
        <v>484</v>
      </c>
      <c r="F623" s="2" t="n">
        <v>1</v>
      </c>
      <c r="G623" s="2" t="s">
        <v>1092</v>
      </c>
    </row>
    <row r="624" customFormat="false" ht="15" hidden="false" customHeight="false" outlineLevel="0" collapsed="false">
      <c r="A624" s="2" t="s">
        <v>1676</v>
      </c>
      <c r="B624" s="2" t="s">
        <v>930</v>
      </c>
      <c r="C624" s="2" t="s">
        <v>1085</v>
      </c>
      <c r="D624" s="2" t="s">
        <v>992</v>
      </c>
      <c r="E624" s="2" t="s">
        <v>369</v>
      </c>
      <c r="F624" s="2" t="n">
        <v>1</v>
      </c>
      <c r="G624" s="2" t="s">
        <v>1092</v>
      </c>
    </row>
    <row r="625" customFormat="false" ht="15" hidden="false" customHeight="false" outlineLevel="0" collapsed="false">
      <c r="A625" s="2" t="s">
        <v>1677</v>
      </c>
      <c r="B625" s="2" t="s">
        <v>930</v>
      </c>
      <c r="C625" s="2" t="s">
        <v>982</v>
      </c>
      <c r="D625" s="2" t="s">
        <v>986</v>
      </c>
      <c r="E625" s="2" t="s">
        <v>386</v>
      </c>
      <c r="F625" s="2" t="n">
        <v>1</v>
      </c>
      <c r="G625" s="2" t="s">
        <v>987</v>
      </c>
    </row>
    <row r="626" customFormat="false" ht="15" hidden="false" customHeight="false" outlineLevel="0" collapsed="false">
      <c r="A626" s="2" t="s">
        <v>1678</v>
      </c>
      <c r="B626" s="2" t="s">
        <v>930</v>
      </c>
      <c r="C626" s="2" t="s">
        <v>982</v>
      </c>
      <c r="D626" s="2" t="s">
        <v>989</v>
      </c>
      <c r="E626" s="2" t="s">
        <v>430</v>
      </c>
      <c r="F626" s="2" t="n">
        <v>1</v>
      </c>
      <c r="G626" s="2" t="s">
        <v>990</v>
      </c>
    </row>
    <row r="627" customFormat="false" ht="15" hidden="false" customHeight="false" outlineLevel="0" collapsed="false">
      <c r="A627" s="2" t="s">
        <v>1679</v>
      </c>
      <c r="B627" s="2" t="s">
        <v>930</v>
      </c>
      <c r="C627" s="2" t="s">
        <v>982</v>
      </c>
      <c r="D627" s="2" t="s">
        <v>992</v>
      </c>
      <c r="E627" s="2" t="s">
        <v>496</v>
      </c>
      <c r="F627" s="2" t="n">
        <v>1</v>
      </c>
      <c r="G627" s="2" t="s">
        <v>993</v>
      </c>
    </row>
    <row r="628" customFormat="false" ht="15" hidden="false" customHeight="false" outlineLevel="0" collapsed="false">
      <c r="A628" s="2" t="s">
        <v>1680</v>
      </c>
      <c r="B628" s="2" t="s">
        <v>930</v>
      </c>
      <c r="C628" s="2" t="s">
        <v>996</v>
      </c>
      <c r="D628" s="2" t="s">
        <v>986</v>
      </c>
      <c r="E628" s="2" t="s">
        <v>392</v>
      </c>
      <c r="F628" s="2" t="n">
        <v>1</v>
      </c>
      <c r="G628" s="2" t="s">
        <v>999</v>
      </c>
    </row>
    <row r="629" customFormat="false" ht="15" hidden="false" customHeight="false" outlineLevel="0" collapsed="false">
      <c r="A629" s="2" t="s">
        <v>1681</v>
      </c>
      <c r="B629" s="2" t="s">
        <v>930</v>
      </c>
      <c r="C629" s="2" t="s">
        <v>996</v>
      </c>
      <c r="D629" s="2" t="s">
        <v>989</v>
      </c>
      <c r="E629" s="2" t="s">
        <v>363</v>
      </c>
      <c r="F629" s="2" t="n">
        <v>1</v>
      </c>
      <c r="G629" s="2" t="s">
        <v>1001</v>
      </c>
    </row>
    <row r="630" customFormat="false" ht="15" hidden="false" customHeight="false" outlineLevel="0" collapsed="false">
      <c r="A630" s="2" t="s">
        <v>1682</v>
      </c>
      <c r="B630" s="2" t="s">
        <v>930</v>
      </c>
      <c r="C630" s="2" t="s">
        <v>1003</v>
      </c>
      <c r="D630" s="2" t="s">
        <v>986</v>
      </c>
      <c r="E630" s="2" t="s">
        <v>357</v>
      </c>
      <c r="F630" s="2" t="n">
        <v>1</v>
      </c>
      <c r="G630" s="2" t="s">
        <v>1006</v>
      </c>
    </row>
    <row r="631" customFormat="false" ht="15" hidden="false" customHeight="false" outlineLevel="0" collapsed="false">
      <c r="A631" s="2" t="s">
        <v>1683</v>
      </c>
      <c r="B631" s="2" t="s">
        <v>930</v>
      </c>
      <c r="C631" s="2" t="s">
        <v>1003</v>
      </c>
      <c r="D631" s="2" t="s">
        <v>989</v>
      </c>
      <c r="E631" s="2" t="s">
        <v>233</v>
      </c>
      <c r="F631" s="2" t="n">
        <v>1</v>
      </c>
      <c r="G631" s="2" t="s">
        <v>1008</v>
      </c>
    </row>
    <row r="632" customFormat="false" ht="15" hidden="false" customHeight="false" outlineLevel="0" collapsed="false">
      <c r="A632" s="2" t="s">
        <v>1684</v>
      </c>
      <c r="B632" s="2" t="s">
        <v>930</v>
      </c>
      <c r="C632" s="2" t="s">
        <v>1003</v>
      </c>
      <c r="D632" s="2" t="s">
        <v>992</v>
      </c>
      <c r="E632" s="2" t="s">
        <v>477</v>
      </c>
      <c r="F632" s="2" t="n">
        <v>1</v>
      </c>
      <c r="G632" s="2" t="s">
        <v>1103</v>
      </c>
    </row>
    <row r="633" customFormat="false" ht="15" hidden="false" customHeight="false" outlineLevel="0" collapsed="false">
      <c r="A633" s="2" t="s">
        <v>1685</v>
      </c>
      <c r="B633" s="2" t="s">
        <v>930</v>
      </c>
      <c r="C633" s="2" t="s">
        <v>1003</v>
      </c>
      <c r="D633" s="2" t="s">
        <v>992</v>
      </c>
      <c r="E633" s="2" t="s">
        <v>466</v>
      </c>
      <c r="F633" s="2" t="n">
        <v>1</v>
      </c>
      <c r="G633" s="2" t="s">
        <v>1103</v>
      </c>
    </row>
    <row r="634" customFormat="false" ht="15" hidden="false" customHeight="false" outlineLevel="0" collapsed="false">
      <c r="A634" s="2" t="s">
        <v>1686</v>
      </c>
      <c r="B634" s="2" t="s">
        <v>930</v>
      </c>
      <c r="C634" s="2" t="s">
        <v>1010</v>
      </c>
      <c r="D634" s="2" t="s">
        <v>983</v>
      </c>
      <c r="E634" s="2" t="s">
        <v>239</v>
      </c>
      <c r="F634" s="2" t="n">
        <v>1</v>
      </c>
      <c r="G634" s="2" t="s">
        <v>1011</v>
      </c>
    </row>
    <row r="635" customFormat="false" ht="15" hidden="false" customHeight="false" outlineLevel="0" collapsed="false">
      <c r="A635" s="2" t="s">
        <v>1687</v>
      </c>
      <c r="B635" s="2" t="s">
        <v>930</v>
      </c>
      <c r="C635" s="2" t="s">
        <v>1010</v>
      </c>
      <c r="D635" s="2" t="s">
        <v>986</v>
      </c>
      <c r="E635" s="2" t="s">
        <v>292</v>
      </c>
      <c r="F635" s="2" t="n">
        <v>1</v>
      </c>
      <c r="G635" s="2" t="s">
        <v>1013</v>
      </c>
    </row>
    <row r="636" customFormat="false" ht="15" hidden="false" customHeight="false" outlineLevel="0" collapsed="false">
      <c r="A636" s="2" t="s">
        <v>1688</v>
      </c>
      <c r="B636" s="2" t="s">
        <v>930</v>
      </c>
      <c r="C636" s="2" t="s">
        <v>1010</v>
      </c>
      <c r="D636" s="2" t="s">
        <v>989</v>
      </c>
      <c r="E636" s="2" t="s">
        <v>412</v>
      </c>
      <c r="F636" s="2" t="n">
        <v>1</v>
      </c>
      <c r="G636" s="2" t="s">
        <v>1015</v>
      </c>
    </row>
    <row r="637" customFormat="false" ht="15" hidden="false" customHeight="false" outlineLevel="0" collapsed="false">
      <c r="A637" s="2" t="s">
        <v>1689</v>
      </c>
      <c r="B637" s="2" t="s">
        <v>930</v>
      </c>
      <c r="C637" s="2" t="s">
        <v>1010</v>
      </c>
      <c r="D637" s="2" t="s">
        <v>992</v>
      </c>
      <c r="E637" s="2" t="s">
        <v>459</v>
      </c>
      <c r="F637" s="2" t="n">
        <v>1</v>
      </c>
      <c r="G637" s="2" t="s">
        <v>1017</v>
      </c>
    </row>
    <row r="638" customFormat="false" ht="15" hidden="false" customHeight="false" outlineLevel="0" collapsed="false">
      <c r="A638" s="2" t="s">
        <v>1690</v>
      </c>
      <c r="B638" s="2" t="s">
        <v>930</v>
      </c>
      <c r="C638" s="2" t="s">
        <v>1019</v>
      </c>
      <c r="D638" s="2" t="s">
        <v>983</v>
      </c>
      <c r="E638" s="2" t="s">
        <v>304</v>
      </c>
      <c r="F638" s="2" t="n">
        <v>1</v>
      </c>
      <c r="G638" s="2" t="s">
        <v>1107</v>
      </c>
    </row>
    <row r="639" customFormat="false" ht="15" hidden="false" customHeight="false" outlineLevel="0" collapsed="false">
      <c r="A639" s="2" t="s">
        <v>1691</v>
      </c>
      <c r="B639" s="2" t="s">
        <v>930</v>
      </c>
      <c r="C639" s="2" t="s">
        <v>1019</v>
      </c>
      <c r="D639" s="2" t="s">
        <v>986</v>
      </c>
      <c r="E639" s="2" t="s">
        <v>363</v>
      </c>
      <c r="F639" s="2" t="n">
        <v>1</v>
      </c>
      <c r="G639" s="2" t="s">
        <v>1020</v>
      </c>
    </row>
    <row r="640" customFormat="false" ht="15" hidden="false" customHeight="false" outlineLevel="0" collapsed="false">
      <c r="A640" s="2" t="s">
        <v>1692</v>
      </c>
      <c r="B640" s="2" t="s">
        <v>930</v>
      </c>
      <c r="C640" s="2" t="s">
        <v>1019</v>
      </c>
      <c r="D640" s="2" t="s">
        <v>992</v>
      </c>
      <c r="E640" s="2" t="s">
        <v>484</v>
      </c>
      <c r="F640" s="2" t="n">
        <v>1</v>
      </c>
      <c r="G640" s="2" t="s">
        <v>1024</v>
      </c>
    </row>
    <row r="641" customFormat="false" ht="15" hidden="false" customHeight="false" outlineLevel="0" collapsed="false">
      <c r="A641" s="2" t="s">
        <v>1693</v>
      </c>
      <c r="B641" s="2" t="s">
        <v>930</v>
      </c>
      <c r="C641" s="2" t="s">
        <v>1019</v>
      </c>
      <c r="D641" s="2" t="s">
        <v>992</v>
      </c>
      <c r="E641" s="2" t="s">
        <v>466</v>
      </c>
      <c r="F641" s="2" t="n">
        <v>1</v>
      </c>
      <c r="G641" s="2" t="s">
        <v>1024</v>
      </c>
    </row>
    <row r="642" customFormat="false" ht="15" hidden="false" customHeight="false" outlineLevel="0" collapsed="false">
      <c r="A642" s="2" t="s">
        <v>1694</v>
      </c>
      <c r="B642" s="2" t="s">
        <v>930</v>
      </c>
      <c r="C642" s="2" t="s">
        <v>1026</v>
      </c>
      <c r="D642" s="2" t="s">
        <v>983</v>
      </c>
      <c r="E642" s="2" t="s">
        <v>280</v>
      </c>
      <c r="F642" s="2" t="n">
        <v>1</v>
      </c>
      <c r="G642" s="2" t="s">
        <v>1027</v>
      </c>
    </row>
    <row r="643" customFormat="false" ht="15" hidden="false" customHeight="false" outlineLevel="0" collapsed="false">
      <c r="A643" s="2" t="s">
        <v>1695</v>
      </c>
      <c r="B643" s="2" t="s">
        <v>930</v>
      </c>
      <c r="C643" s="2" t="s">
        <v>1026</v>
      </c>
      <c r="D643" s="2" t="s">
        <v>986</v>
      </c>
      <c r="E643" s="2" t="s">
        <v>329</v>
      </c>
      <c r="F643" s="2" t="n">
        <v>1</v>
      </c>
      <c r="G643" s="2" t="s">
        <v>1029</v>
      </c>
    </row>
    <row r="644" customFormat="false" ht="15" hidden="false" customHeight="false" outlineLevel="0" collapsed="false">
      <c r="A644" s="2" t="s">
        <v>1696</v>
      </c>
      <c r="B644" s="2" t="s">
        <v>930</v>
      </c>
      <c r="C644" s="2" t="s">
        <v>1026</v>
      </c>
      <c r="D644" s="2" t="s">
        <v>992</v>
      </c>
      <c r="E644" s="2" t="s">
        <v>477</v>
      </c>
      <c r="F644" s="2" t="n">
        <v>1</v>
      </c>
      <c r="G644" s="2" t="s">
        <v>1114</v>
      </c>
    </row>
    <row r="645" customFormat="false" ht="15" hidden="false" customHeight="false" outlineLevel="0" collapsed="false">
      <c r="A645" s="2" t="s">
        <v>1697</v>
      </c>
      <c r="B645" s="2" t="s">
        <v>930</v>
      </c>
      <c r="C645" s="2" t="s">
        <v>1033</v>
      </c>
      <c r="D645" s="2" t="s">
        <v>986</v>
      </c>
      <c r="E645" s="2" t="s">
        <v>380</v>
      </c>
      <c r="F645" s="2" t="n">
        <v>1</v>
      </c>
      <c r="G645" s="2" t="s">
        <v>1036</v>
      </c>
    </row>
    <row r="646" customFormat="false" ht="15" hidden="false" customHeight="false" outlineLevel="0" collapsed="false">
      <c r="A646" s="2" t="s">
        <v>1698</v>
      </c>
      <c r="B646" s="2" t="s">
        <v>930</v>
      </c>
      <c r="C646" s="2" t="s">
        <v>1033</v>
      </c>
      <c r="D646" s="2" t="s">
        <v>989</v>
      </c>
      <c r="E646" s="2" t="s">
        <v>341</v>
      </c>
      <c r="F646" s="2" t="n">
        <v>1</v>
      </c>
      <c r="G646" s="2" t="s">
        <v>1038</v>
      </c>
    </row>
    <row r="647" customFormat="false" ht="15" hidden="false" customHeight="false" outlineLevel="0" collapsed="false">
      <c r="A647" s="2" t="s">
        <v>1699</v>
      </c>
      <c r="B647" s="2" t="s">
        <v>930</v>
      </c>
      <c r="C647" s="2" t="s">
        <v>1052</v>
      </c>
      <c r="D647" s="2" t="s">
        <v>986</v>
      </c>
      <c r="E647" s="2" t="s">
        <v>233</v>
      </c>
      <c r="F647" s="2" t="n">
        <v>1</v>
      </c>
      <c r="G647" s="2" t="s">
        <v>1055</v>
      </c>
    </row>
    <row r="648" customFormat="false" ht="15" hidden="false" customHeight="false" outlineLevel="0" collapsed="false">
      <c r="A648" s="2" t="s">
        <v>1700</v>
      </c>
      <c r="B648" s="2" t="s">
        <v>930</v>
      </c>
      <c r="C648" s="2" t="s">
        <v>1052</v>
      </c>
      <c r="D648" s="2" t="s">
        <v>989</v>
      </c>
      <c r="E648" s="2" t="s">
        <v>363</v>
      </c>
      <c r="F648" s="2" t="n">
        <v>1</v>
      </c>
      <c r="G648" s="2" t="s">
        <v>1057</v>
      </c>
    </row>
    <row r="649" customFormat="false" ht="15" hidden="false" customHeight="false" outlineLevel="0" collapsed="false">
      <c r="A649" s="2" t="s">
        <v>1701</v>
      </c>
      <c r="B649" s="2" t="s">
        <v>930</v>
      </c>
      <c r="C649" s="2" t="s">
        <v>1052</v>
      </c>
      <c r="D649" s="2" t="s">
        <v>992</v>
      </c>
      <c r="E649" s="2" t="s">
        <v>472</v>
      </c>
      <c r="F649" s="2" t="n">
        <v>1</v>
      </c>
      <c r="G649" s="2" t="s">
        <v>1059</v>
      </c>
    </row>
    <row r="650" customFormat="false" ht="15" hidden="false" customHeight="false" outlineLevel="0" collapsed="false">
      <c r="A650" s="2" t="s">
        <v>1702</v>
      </c>
      <c r="B650" s="2" t="s">
        <v>930</v>
      </c>
      <c r="C650" s="2" t="s">
        <v>1128</v>
      </c>
      <c r="D650" s="2" t="s">
        <v>983</v>
      </c>
      <c r="E650" s="2" t="s">
        <v>357</v>
      </c>
      <c r="F650" s="2" t="n">
        <v>1</v>
      </c>
      <c r="G650" s="2" t="s">
        <v>1129</v>
      </c>
    </row>
    <row r="651" customFormat="false" ht="15" hidden="false" customHeight="false" outlineLevel="0" collapsed="false">
      <c r="A651" s="2" t="s">
        <v>1703</v>
      </c>
      <c r="B651" s="2" t="s">
        <v>930</v>
      </c>
      <c r="C651" s="2" t="s">
        <v>1128</v>
      </c>
      <c r="D651" s="2" t="s">
        <v>986</v>
      </c>
      <c r="E651" s="2" t="s">
        <v>392</v>
      </c>
      <c r="F651" s="2" t="n">
        <v>1</v>
      </c>
      <c r="G651" s="2" t="s">
        <v>1131</v>
      </c>
    </row>
    <row r="652" customFormat="false" ht="15" hidden="false" customHeight="false" outlineLevel="0" collapsed="false">
      <c r="A652" s="2" t="s">
        <v>1704</v>
      </c>
      <c r="B652" s="2" t="s">
        <v>930</v>
      </c>
      <c r="C652" s="2" t="s">
        <v>1128</v>
      </c>
      <c r="D652" s="2" t="s">
        <v>989</v>
      </c>
      <c r="E652" s="2" t="s">
        <v>286</v>
      </c>
      <c r="F652" s="2" t="n">
        <v>1</v>
      </c>
      <c r="G652" s="2" t="s">
        <v>1133</v>
      </c>
    </row>
    <row r="653" customFormat="false" ht="15" hidden="false" customHeight="false" outlineLevel="0" collapsed="false">
      <c r="A653" s="2" t="s">
        <v>1705</v>
      </c>
      <c r="B653" s="2" t="s">
        <v>930</v>
      </c>
      <c r="C653" s="2" t="s">
        <v>1128</v>
      </c>
      <c r="D653" s="2" t="s">
        <v>992</v>
      </c>
      <c r="E653" s="2" t="s">
        <v>496</v>
      </c>
      <c r="F653" s="2" t="n">
        <v>1</v>
      </c>
      <c r="G653" s="2" t="s">
        <v>1135</v>
      </c>
    </row>
    <row r="654" customFormat="false" ht="15" hidden="false" customHeight="false" outlineLevel="0" collapsed="false">
      <c r="A654" s="2" t="s">
        <v>1706</v>
      </c>
      <c r="B654" s="2" t="s">
        <v>930</v>
      </c>
      <c r="C654" s="2" t="s">
        <v>1061</v>
      </c>
      <c r="D654" s="2" t="s">
        <v>983</v>
      </c>
      <c r="E654" s="2" t="s">
        <v>466</v>
      </c>
      <c r="F654" s="2" t="n">
        <v>1</v>
      </c>
      <c r="G654" s="2" t="s">
        <v>1062</v>
      </c>
    </row>
    <row r="655" customFormat="false" ht="15" hidden="false" customHeight="false" outlineLevel="0" collapsed="false">
      <c r="A655" s="2" t="s">
        <v>1707</v>
      </c>
      <c r="B655" s="2" t="s">
        <v>930</v>
      </c>
      <c r="C655" s="2" t="s">
        <v>1061</v>
      </c>
      <c r="D655" s="2" t="s">
        <v>986</v>
      </c>
      <c r="E655" s="2" t="s">
        <v>352</v>
      </c>
      <c r="F655" s="2" t="n">
        <v>1</v>
      </c>
      <c r="G655" s="2" t="s">
        <v>1064</v>
      </c>
    </row>
    <row r="656" customFormat="false" ht="15" hidden="false" customHeight="false" outlineLevel="0" collapsed="false">
      <c r="A656" s="2" t="s">
        <v>1708</v>
      </c>
      <c r="B656" s="2" t="s">
        <v>930</v>
      </c>
      <c r="C656" s="2" t="s">
        <v>1061</v>
      </c>
      <c r="D656" s="2" t="s">
        <v>989</v>
      </c>
      <c r="E656" s="2" t="s">
        <v>335</v>
      </c>
      <c r="F656" s="2" t="n">
        <v>1</v>
      </c>
      <c r="G656" s="2" t="s">
        <v>1066</v>
      </c>
    </row>
    <row r="657" customFormat="false" ht="15" hidden="false" customHeight="false" outlineLevel="0" collapsed="false">
      <c r="A657" s="2" t="s">
        <v>1709</v>
      </c>
      <c r="B657" s="2" t="s">
        <v>930</v>
      </c>
      <c r="C657" s="2" t="s">
        <v>220</v>
      </c>
      <c r="D657" s="2" t="s">
        <v>986</v>
      </c>
      <c r="E657" s="2" t="s">
        <v>369</v>
      </c>
      <c r="F657" s="2" t="n">
        <v>1</v>
      </c>
      <c r="G657" s="2" t="s">
        <v>1078</v>
      </c>
    </row>
    <row r="658" customFormat="false" ht="15" hidden="false" customHeight="false" outlineLevel="0" collapsed="false">
      <c r="A658" s="2" t="s">
        <v>1710</v>
      </c>
      <c r="B658" s="2" t="s">
        <v>930</v>
      </c>
      <c r="C658" s="2" t="s">
        <v>220</v>
      </c>
      <c r="D658" s="2" t="s">
        <v>989</v>
      </c>
      <c r="E658" s="2" t="s">
        <v>280</v>
      </c>
      <c r="F658" s="2" t="n">
        <v>1</v>
      </c>
      <c r="G658" s="2" t="s">
        <v>1080</v>
      </c>
    </row>
    <row r="659" customFormat="false" ht="15" hidden="false" customHeight="false" outlineLevel="0" collapsed="false">
      <c r="A659" s="2" t="s">
        <v>1711</v>
      </c>
      <c r="B659" s="2" t="s">
        <v>930</v>
      </c>
      <c r="C659" s="2" t="s">
        <v>220</v>
      </c>
      <c r="D659" s="2" t="s">
        <v>992</v>
      </c>
      <c r="E659" s="2" t="s">
        <v>496</v>
      </c>
      <c r="F659" s="2" t="n">
        <v>1</v>
      </c>
      <c r="G659" s="2" t="s">
        <v>1082</v>
      </c>
    </row>
    <row r="660" customFormat="false" ht="15" hidden="false" customHeight="false" outlineLevel="0" collapsed="false">
      <c r="A660" s="2" t="s">
        <v>1712</v>
      </c>
      <c r="B660" s="2" t="s">
        <v>933</v>
      </c>
      <c r="C660" s="2" t="s">
        <v>1085</v>
      </c>
      <c r="D660" s="2" t="s">
        <v>986</v>
      </c>
      <c r="E660" s="2" t="s">
        <v>286</v>
      </c>
      <c r="F660" s="2" t="n">
        <v>1</v>
      </c>
      <c r="G660" s="2" t="s">
        <v>1088</v>
      </c>
    </row>
    <row r="661" customFormat="false" ht="15" hidden="false" customHeight="false" outlineLevel="0" collapsed="false">
      <c r="A661" s="2" t="s">
        <v>1713</v>
      </c>
      <c r="B661" s="2" t="s">
        <v>933</v>
      </c>
      <c r="C661" s="2" t="s">
        <v>1085</v>
      </c>
      <c r="D661" s="2" t="s">
        <v>989</v>
      </c>
      <c r="E661" s="2" t="s">
        <v>436</v>
      </c>
      <c r="F661" s="2" t="n">
        <v>1</v>
      </c>
      <c r="G661" s="2" t="s">
        <v>1090</v>
      </c>
    </row>
    <row r="662" customFormat="false" ht="15" hidden="false" customHeight="false" outlineLevel="0" collapsed="false">
      <c r="A662" s="2" t="s">
        <v>1714</v>
      </c>
      <c r="B662" s="2" t="s">
        <v>933</v>
      </c>
      <c r="C662" s="2" t="s">
        <v>1085</v>
      </c>
      <c r="D662" s="2" t="s">
        <v>992</v>
      </c>
      <c r="E662" s="2" t="s">
        <v>484</v>
      </c>
      <c r="F662" s="2" t="n">
        <v>1</v>
      </c>
      <c r="G662" s="2" t="s">
        <v>1092</v>
      </c>
    </row>
    <row r="663" customFormat="false" ht="15" hidden="false" customHeight="false" outlineLevel="0" collapsed="false">
      <c r="A663" s="2" t="s">
        <v>1715</v>
      </c>
      <c r="B663" s="2" t="s">
        <v>933</v>
      </c>
      <c r="C663" s="2" t="s">
        <v>1085</v>
      </c>
      <c r="D663" s="2" t="s">
        <v>992</v>
      </c>
      <c r="E663" s="2" t="s">
        <v>466</v>
      </c>
      <c r="F663" s="2" t="n">
        <v>1</v>
      </c>
      <c r="G663" s="2" t="s">
        <v>1092</v>
      </c>
    </row>
    <row r="664" customFormat="false" ht="15" hidden="false" customHeight="false" outlineLevel="0" collapsed="false">
      <c r="A664" s="2" t="s">
        <v>1716</v>
      </c>
      <c r="B664" s="2" t="s">
        <v>933</v>
      </c>
      <c r="C664" s="2" t="s">
        <v>996</v>
      </c>
      <c r="D664" s="2" t="s">
        <v>983</v>
      </c>
      <c r="E664" s="2" t="s">
        <v>369</v>
      </c>
      <c r="F664" s="2" t="n">
        <v>1</v>
      </c>
      <c r="G664" s="2" t="s">
        <v>997</v>
      </c>
    </row>
    <row r="665" customFormat="false" ht="15" hidden="false" customHeight="false" outlineLevel="0" collapsed="false">
      <c r="A665" s="2" t="s">
        <v>1717</v>
      </c>
      <c r="B665" s="2" t="s">
        <v>933</v>
      </c>
      <c r="C665" s="2" t="s">
        <v>996</v>
      </c>
      <c r="D665" s="2" t="s">
        <v>986</v>
      </c>
      <c r="E665" s="2" t="s">
        <v>369</v>
      </c>
      <c r="F665" s="2" t="n">
        <v>1</v>
      </c>
      <c r="G665" s="2" t="s">
        <v>999</v>
      </c>
    </row>
    <row r="666" customFormat="false" ht="15" hidden="false" customHeight="false" outlineLevel="0" collapsed="false">
      <c r="A666" s="2" t="s">
        <v>1718</v>
      </c>
      <c r="B666" s="2" t="s">
        <v>933</v>
      </c>
      <c r="C666" s="2" t="s">
        <v>996</v>
      </c>
      <c r="D666" s="2" t="s">
        <v>989</v>
      </c>
      <c r="E666" s="2" t="s">
        <v>245</v>
      </c>
      <c r="F666" s="2" t="n">
        <v>1</v>
      </c>
      <c r="G666" s="2" t="s">
        <v>1001</v>
      </c>
    </row>
    <row r="667" customFormat="false" ht="15" hidden="false" customHeight="false" outlineLevel="0" collapsed="false">
      <c r="A667" s="2" t="s">
        <v>1719</v>
      </c>
      <c r="B667" s="2" t="s">
        <v>933</v>
      </c>
      <c r="C667" s="2" t="s">
        <v>996</v>
      </c>
      <c r="D667" s="2" t="s">
        <v>992</v>
      </c>
      <c r="E667" s="2" t="s">
        <v>496</v>
      </c>
      <c r="F667" s="2" t="n">
        <v>1</v>
      </c>
      <c r="G667" s="2" t="s">
        <v>1156</v>
      </c>
    </row>
    <row r="668" customFormat="false" ht="15" hidden="false" customHeight="false" outlineLevel="0" collapsed="false">
      <c r="A668" s="2" t="s">
        <v>1720</v>
      </c>
      <c r="B668" s="2" t="s">
        <v>933</v>
      </c>
      <c r="C668" s="2" t="s">
        <v>996</v>
      </c>
      <c r="D668" s="2" t="s">
        <v>992</v>
      </c>
      <c r="E668" s="2" t="s">
        <v>490</v>
      </c>
      <c r="F668" s="2" t="n">
        <v>1</v>
      </c>
      <c r="G668" s="2" t="s">
        <v>1156</v>
      </c>
    </row>
    <row r="669" customFormat="false" ht="15" hidden="false" customHeight="false" outlineLevel="0" collapsed="false">
      <c r="A669" s="2" t="s">
        <v>1721</v>
      </c>
      <c r="B669" s="2" t="s">
        <v>933</v>
      </c>
      <c r="C669" s="2" t="s">
        <v>1003</v>
      </c>
      <c r="D669" s="2" t="s">
        <v>986</v>
      </c>
      <c r="E669" s="2" t="s">
        <v>311</v>
      </c>
      <c r="F669" s="2" t="n">
        <v>1</v>
      </c>
      <c r="G669" s="2" t="s">
        <v>1006</v>
      </c>
    </row>
    <row r="670" customFormat="false" ht="15" hidden="false" customHeight="false" outlineLevel="0" collapsed="false">
      <c r="A670" s="2" t="s">
        <v>1722</v>
      </c>
      <c r="B670" s="2" t="s">
        <v>933</v>
      </c>
      <c r="C670" s="2" t="s">
        <v>1003</v>
      </c>
      <c r="D670" s="2" t="s">
        <v>989</v>
      </c>
      <c r="E670" s="2" t="s">
        <v>341</v>
      </c>
      <c r="F670" s="2" t="n">
        <v>1</v>
      </c>
      <c r="G670" s="2" t="s">
        <v>1008</v>
      </c>
    </row>
    <row r="671" customFormat="false" ht="15" hidden="false" customHeight="false" outlineLevel="0" collapsed="false">
      <c r="A671" s="2" t="s">
        <v>1723</v>
      </c>
      <c r="B671" s="2" t="s">
        <v>933</v>
      </c>
      <c r="C671" s="2" t="s">
        <v>1010</v>
      </c>
      <c r="D671" s="2" t="s">
        <v>983</v>
      </c>
      <c r="E671" s="2" t="s">
        <v>484</v>
      </c>
      <c r="F671" s="2" t="n">
        <v>1</v>
      </c>
      <c r="G671" s="2" t="s">
        <v>1011</v>
      </c>
    </row>
    <row r="672" customFormat="false" ht="15" hidden="false" customHeight="false" outlineLevel="0" collapsed="false">
      <c r="A672" s="2" t="s">
        <v>1724</v>
      </c>
      <c r="B672" s="2" t="s">
        <v>933</v>
      </c>
      <c r="C672" s="2" t="s">
        <v>1010</v>
      </c>
      <c r="D672" s="2" t="s">
        <v>986</v>
      </c>
      <c r="E672" s="2" t="s">
        <v>386</v>
      </c>
      <c r="F672" s="2" t="n">
        <v>1</v>
      </c>
      <c r="G672" s="2" t="s">
        <v>1013</v>
      </c>
    </row>
    <row r="673" customFormat="false" ht="15" hidden="false" customHeight="false" outlineLevel="0" collapsed="false">
      <c r="A673" s="2" t="s">
        <v>1725</v>
      </c>
      <c r="B673" s="2" t="s">
        <v>933</v>
      </c>
      <c r="C673" s="2" t="s">
        <v>1010</v>
      </c>
      <c r="D673" s="2" t="s">
        <v>989</v>
      </c>
      <c r="E673" s="2" t="s">
        <v>329</v>
      </c>
      <c r="F673" s="2" t="n">
        <v>1</v>
      </c>
      <c r="G673" s="2" t="s">
        <v>1015</v>
      </c>
    </row>
    <row r="674" customFormat="false" ht="15" hidden="false" customHeight="false" outlineLevel="0" collapsed="false">
      <c r="A674" s="2" t="s">
        <v>1726</v>
      </c>
      <c r="B674" s="2" t="s">
        <v>933</v>
      </c>
      <c r="C674" s="2" t="s">
        <v>1019</v>
      </c>
      <c r="D674" s="2" t="s">
        <v>986</v>
      </c>
      <c r="E674" s="2" t="s">
        <v>233</v>
      </c>
      <c r="F674" s="2" t="n">
        <v>1</v>
      </c>
      <c r="G674" s="2" t="s">
        <v>1020</v>
      </c>
    </row>
    <row r="675" customFormat="false" ht="15" hidden="false" customHeight="false" outlineLevel="0" collapsed="false">
      <c r="A675" s="2" t="s">
        <v>1727</v>
      </c>
      <c r="B675" s="2" t="s">
        <v>933</v>
      </c>
      <c r="C675" s="2" t="s">
        <v>1019</v>
      </c>
      <c r="D675" s="2" t="s">
        <v>989</v>
      </c>
      <c r="E675" s="2" t="s">
        <v>412</v>
      </c>
      <c r="F675" s="2" t="n">
        <v>1</v>
      </c>
      <c r="G675" s="2" t="s">
        <v>1022</v>
      </c>
    </row>
    <row r="676" customFormat="false" ht="15" hidden="false" customHeight="false" outlineLevel="0" collapsed="false">
      <c r="A676" s="2" t="s">
        <v>1728</v>
      </c>
      <c r="B676" s="2" t="s">
        <v>933</v>
      </c>
      <c r="C676" s="2" t="s">
        <v>1019</v>
      </c>
      <c r="D676" s="2" t="s">
        <v>992</v>
      </c>
      <c r="E676" s="2" t="s">
        <v>496</v>
      </c>
      <c r="F676" s="2" t="n">
        <v>1</v>
      </c>
      <c r="G676" s="2" t="s">
        <v>1024</v>
      </c>
    </row>
    <row r="677" customFormat="false" ht="15" hidden="false" customHeight="false" outlineLevel="0" collapsed="false">
      <c r="A677" s="2" t="s">
        <v>1729</v>
      </c>
      <c r="B677" s="2" t="s">
        <v>933</v>
      </c>
      <c r="C677" s="2" t="s">
        <v>1019</v>
      </c>
      <c r="D677" s="2" t="s">
        <v>992</v>
      </c>
      <c r="E677" s="2" t="s">
        <v>477</v>
      </c>
      <c r="F677" s="2" t="n">
        <v>1</v>
      </c>
      <c r="G677" s="2" t="s">
        <v>1024</v>
      </c>
    </row>
    <row r="678" customFormat="false" ht="15" hidden="false" customHeight="false" outlineLevel="0" collapsed="false">
      <c r="A678" s="2" t="s">
        <v>1730</v>
      </c>
      <c r="B678" s="2" t="s">
        <v>933</v>
      </c>
      <c r="C678" s="2" t="s">
        <v>1026</v>
      </c>
      <c r="D678" s="2" t="s">
        <v>986</v>
      </c>
      <c r="E678" s="2" t="s">
        <v>352</v>
      </c>
      <c r="F678" s="2" t="n">
        <v>1</v>
      </c>
      <c r="G678" s="2" t="s">
        <v>1029</v>
      </c>
    </row>
    <row r="679" customFormat="false" ht="15" hidden="false" customHeight="false" outlineLevel="0" collapsed="false">
      <c r="A679" s="2" t="s">
        <v>1731</v>
      </c>
      <c r="B679" s="2" t="s">
        <v>933</v>
      </c>
      <c r="C679" s="2" t="s">
        <v>1026</v>
      </c>
      <c r="D679" s="2" t="s">
        <v>989</v>
      </c>
      <c r="E679" s="2" t="s">
        <v>329</v>
      </c>
      <c r="F679" s="2" t="n">
        <v>1</v>
      </c>
      <c r="G679" s="2" t="s">
        <v>1031</v>
      </c>
    </row>
    <row r="680" customFormat="false" ht="15" hidden="false" customHeight="false" outlineLevel="0" collapsed="false">
      <c r="A680" s="2" t="s">
        <v>1732</v>
      </c>
      <c r="B680" s="2" t="s">
        <v>933</v>
      </c>
      <c r="C680" s="2" t="s">
        <v>1026</v>
      </c>
      <c r="D680" s="2" t="s">
        <v>992</v>
      </c>
      <c r="E680" s="2" t="s">
        <v>484</v>
      </c>
      <c r="F680" s="2" t="n">
        <v>1</v>
      </c>
      <c r="G680" s="2" t="s">
        <v>1114</v>
      </c>
    </row>
    <row r="681" customFormat="false" ht="15" hidden="false" customHeight="false" outlineLevel="0" collapsed="false">
      <c r="A681" s="2" t="s">
        <v>1733</v>
      </c>
      <c r="B681" s="2" t="s">
        <v>933</v>
      </c>
      <c r="C681" s="2" t="s">
        <v>1033</v>
      </c>
      <c r="D681" s="2" t="s">
        <v>983</v>
      </c>
      <c r="E681" s="2" t="s">
        <v>369</v>
      </c>
      <c r="F681" s="2" t="n">
        <v>1</v>
      </c>
      <c r="G681" s="2" t="s">
        <v>1034</v>
      </c>
    </row>
    <row r="682" customFormat="false" ht="15" hidden="false" customHeight="false" outlineLevel="0" collapsed="false">
      <c r="A682" s="2" t="s">
        <v>1734</v>
      </c>
      <c r="B682" s="2" t="s">
        <v>933</v>
      </c>
      <c r="C682" s="2" t="s">
        <v>1033</v>
      </c>
      <c r="D682" s="2" t="s">
        <v>986</v>
      </c>
      <c r="E682" s="2" t="s">
        <v>341</v>
      </c>
      <c r="F682" s="2" t="n">
        <v>1</v>
      </c>
      <c r="G682" s="2" t="s">
        <v>1036</v>
      </c>
    </row>
    <row r="683" customFormat="false" ht="15" hidden="false" customHeight="false" outlineLevel="0" collapsed="false">
      <c r="A683" s="2" t="s">
        <v>1735</v>
      </c>
      <c r="B683" s="2" t="s">
        <v>933</v>
      </c>
      <c r="C683" s="2" t="s">
        <v>1033</v>
      </c>
      <c r="D683" s="2" t="s">
        <v>989</v>
      </c>
      <c r="E683" s="2" t="s">
        <v>280</v>
      </c>
      <c r="F683" s="2" t="n">
        <v>1</v>
      </c>
      <c r="G683" s="2" t="s">
        <v>1038</v>
      </c>
    </row>
    <row r="684" customFormat="false" ht="15" hidden="false" customHeight="false" outlineLevel="0" collapsed="false">
      <c r="A684" s="2" t="s">
        <v>1736</v>
      </c>
      <c r="B684" s="2" t="s">
        <v>933</v>
      </c>
      <c r="C684" s="2" t="s">
        <v>1033</v>
      </c>
      <c r="D684" s="2" t="s">
        <v>992</v>
      </c>
      <c r="E684" s="2" t="s">
        <v>496</v>
      </c>
      <c r="F684" s="2" t="n">
        <v>1</v>
      </c>
      <c r="G684" s="2" t="s">
        <v>1040</v>
      </c>
    </row>
    <row r="685" customFormat="false" ht="15" hidden="false" customHeight="false" outlineLevel="0" collapsed="false">
      <c r="A685" s="2" t="s">
        <v>1737</v>
      </c>
      <c r="B685" s="2" t="s">
        <v>933</v>
      </c>
      <c r="C685" s="2" t="s">
        <v>1043</v>
      </c>
      <c r="D685" s="2" t="s">
        <v>983</v>
      </c>
      <c r="E685" s="2" t="s">
        <v>357</v>
      </c>
      <c r="F685" s="2" t="n">
        <v>1</v>
      </c>
      <c r="G685" s="2" t="s">
        <v>1044</v>
      </c>
    </row>
    <row r="686" customFormat="false" ht="15" hidden="false" customHeight="false" outlineLevel="0" collapsed="false">
      <c r="A686" s="2" t="s">
        <v>1738</v>
      </c>
      <c r="B686" s="2" t="s">
        <v>933</v>
      </c>
      <c r="C686" s="2" t="s">
        <v>1043</v>
      </c>
      <c r="D686" s="2" t="s">
        <v>986</v>
      </c>
      <c r="E686" s="2" t="s">
        <v>304</v>
      </c>
      <c r="F686" s="2" t="n">
        <v>1</v>
      </c>
      <c r="G686" s="2" t="s">
        <v>1046</v>
      </c>
    </row>
    <row r="687" customFormat="false" ht="15" hidden="false" customHeight="false" outlineLevel="0" collapsed="false">
      <c r="A687" s="2" t="s">
        <v>1739</v>
      </c>
      <c r="B687" s="2" t="s">
        <v>933</v>
      </c>
      <c r="C687" s="2" t="s">
        <v>1043</v>
      </c>
      <c r="D687" s="2" t="s">
        <v>989</v>
      </c>
      <c r="E687" s="2" t="s">
        <v>304</v>
      </c>
      <c r="F687" s="2" t="n">
        <v>1</v>
      </c>
      <c r="G687" s="2" t="s">
        <v>1048</v>
      </c>
    </row>
    <row r="688" customFormat="false" ht="15" hidden="false" customHeight="false" outlineLevel="0" collapsed="false">
      <c r="A688" s="2" t="s">
        <v>1740</v>
      </c>
      <c r="B688" s="2" t="s">
        <v>933</v>
      </c>
      <c r="C688" s="2" t="s">
        <v>1043</v>
      </c>
      <c r="D688" s="2" t="s">
        <v>992</v>
      </c>
      <c r="E688" s="2" t="s">
        <v>490</v>
      </c>
      <c r="F688" s="2" t="n">
        <v>1</v>
      </c>
      <c r="G688" s="2" t="s">
        <v>1050</v>
      </c>
    </row>
    <row r="689" customFormat="false" ht="15" hidden="false" customHeight="false" outlineLevel="0" collapsed="false">
      <c r="A689" s="2" t="s">
        <v>1741</v>
      </c>
      <c r="B689" s="2" t="s">
        <v>933</v>
      </c>
      <c r="C689" s="2" t="s">
        <v>1043</v>
      </c>
      <c r="D689" s="2" t="s">
        <v>992</v>
      </c>
      <c r="E689" s="2" t="s">
        <v>496</v>
      </c>
      <c r="F689" s="2" t="n">
        <v>1</v>
      </c>
      <c r="G689" s="2" t="s">
        <v>1050</v>
      </c>
    </row>
    <row r="690" customFormat="false" ht="15" hidden="false" customHeight="false" outlineLevel="0" collapsed="false">
      <c r="A690" s="2" t="s">
        <v>1742</v>
      </c>
      <c r="B690" s="2" t="s">
        <v>933</v>
      </c>
      <c r="C690" s="2" t="s">
        <v>1128</v>
      </c>
      <c r="D690" s="2" t="s">
        <v>983</v>
      </c>
      <c r="E690" s="2" t="s">
        <v>317</v>
      </c>
      <c r="F690" s="2" t="n">
        <v>1</v>
      </c>
      <c r="G690" s="2" t="s">
        <v>1129</v>
      </c>
    </row>
    <row r="691" customFormat="false" ht="15" hidden="false" customHeight="false" outlineLevel="0" collapsed="false">
      <c r="A691" s="2" t="s">
        <v>1743</v>
      </c>
      <c r="B691" s="2" t="s">
        <v>933</v>
      </c>
      <c r="C691" s="2" t="s">
        <v>1128</v>
      </c>
      <c r="D691" s="2" t="s">
        <v>986</v>
      </c>
      <c r="E691" s="2" t="s">
        <v>292</v>
      </c>
      <c r="F691" s="2" t="n">
        <v>1</v>
      </c>
      <c r="G691" s="2" t="s">
        <v>1131</v>
      </c>
    </row>
    <row r="692" customFormat="false" ht="15" hidden="false" customHeight="false" outlineLevel="0" collapsed="false">
      <c r="A692" s="2" t="s">
        <v>1744</v>
      </c>
      <c r="B692" s="2" t="s">
        <v>933</v>
      </c>
      <c r="C692" s="2" t="s">
        <v>1128</v>
      </c>
      <c r="D692" s="2" t="s">
        <v>989</v>
      </c>
      <c r="E692" s="2" t="s">
        <v>329</v>
      </c>
      <c r="F692" s="2" t="n">
        <v>1</v>
      </c>
      <c r="G692" s="2" t="s">
        <v>1133</v>
      </c>
    </row>
    <row r="693" customFormat="false" ht="15" hidden="false" customHeight="false" outlineLevel="0" collapsed="false">
      <c r="A693" s="2" t="s">
        <v>1745</v>
      </c>
      <c r="B693" s="2" t="s">
        <v>933</v>
      </c>
      <c r="C693" s="2" t="s">
        <v>1128</v>
      </c>
      <c r="D693" s="2" t="s">
        <v>992</v>
      </c>
      <c r="E693" s="2" t="s">
        <v>466</v>
      </c>
      <c r="F693" s="2" t="n">
        <v>1</v>
      </c>
      <c r="G693" s="2" t="s">
        <v>1135</v>
      </c>
    </row>
    <row r="694" customFormat="false" ht="15" hidden="false" customHeight="false" outlineLevel="0" collapsed="false">
      <c r="A694" s="2" t="s">
        <v>1746</v>
      </c>
      <c r="B694" s="2" t="s">
        <v>933</v>
      </c>
      <c r="C694" s="2" t="s">
        <v>1128</v>
      </c>
      <c r="D694" s="2" t="s">
        <v>992</v>
      </c>
      <c r="E694" s="2" t="s">
        <v>490</v>
      </c>
      <c r="F694" s="2" t="n">
        <v>1</v>
      </c>
      <c r="G694" s="2" t="s">
        <v>1135</v>
      </c>
    </row>
    <row r="695" customFormat="false" ht="15" hidden="false" customHeight="false" outlineLevel="0" collapsed="false">
      <c r="A695" s="2" t="s">
        <v>1747</v>
      </c>
      <c r="B695" s="2" t="s">
        <v>933</v>
      </c>
      <c r="C695" s="2" t="s">
        <v>1128</v>
      </c>
      <c r="D695" s="2" t="s">
        <v>992</v>
      </c>
      <c r="E695" s="2" t="s">
        <v>459</v>
      </c>
      <c r="F695" s="2" t="n">
        <v>1</v>
      </c>
      <c r="G695" s="2" t="s">
        <v>1135</v>
      </c>
    </row>
    <row r="696" customFormat="false" ht="15" hidden="false" customHeight="false" outlineLevel="0" collapsed="false">
      <c r="A696" s="2" t="s">
        <v>1748</v>
      </c>
      <c r="B696" s="2" t="s">
        <v>933</v>
      </c>
      <c r="C696" s="2" t="s">
        <v>1128</v>
      </c>
      <c r="D696" s="2" t="s">
        <v>992</v>
      </c>
      <c r="E696" s="2" t="s">
        <v>369</v>
      </c>
      <c r="F696" s="2" t="n">
        <v>1</v>
      </c>
      <c r="G696" s="2" t="s">
        <v>1135</v>
      </c>
    </row>
    <row r="697" customFormat="false" ht="15" hidden="false" customHeight="false" outlineLevel="0" collapsed="false">
      <c r="A697" s="2" t="s">
        <v>1749</v>
      </c>
      <c r="B697" s="2" t="s">
        <v>933</v>
      </c>
      <c r="C697" s="2" t="s">
        <v>1061</v>
      </c>
      <c r="D697" s="2" t="s">
        <v>983</v>
      </c>
      <c r="E697" s="2" t="s">
        <v>239</v>
      </c>
      <c r="F697" s="2" t="n">
        <v>1</v>
      </c>
      <c r="G697" s="2" t="s">
        <v>1062</v>
      </c>
    </row>
    <row r="698" customFormat="false" ht="15" hidden="false" customHeight="false" outlineLevel="0" collapsed="false">
      <c r="A698" s="2" t="s">
        <v>1750</v>
      </c>
      <c r="B698" s="2" t="s">
        <v>933</v>
      </c>
      <c r="C698" s="2" t="s">
        <v>1061</v>
      </c>
      <c r="D698" s="2" t="s">
        <v>986</v>
      </c>
      <c r="E698" s="2" t="s">
        <v>268</v>
      </c>
      <c r="F698" s="2" t="n">
        <v>1</v>
      </c>
      <c r="G698" s="2" t="s">
        <v>1064</v>
      </c>
    </row>
    <row r="699" customFormat="false" ht="15" hidden="false" customHeight="false" outlineLevel="0" collapsed="false">
      <c r="A699" s="2" t="s">
        <v>1751</v>
      </c>
      <c r="B699" s="2" t="s">
        <v>933</v>
      </c>
      <c r="C699" s="2" t="s">
        <v>1061</v>
      </c>
      <c r="D699" s="2" t="s">
        <v>989</v>
      </c>
      <c r="E699" s="2" t="s">
        <v>239</v>
      </c>
      <c r="F699" s="2" t="n">
        <v>1</v>
      </c>
      <c r="G699" s="2" t="s">
        <v>1066</v>
      </c>
    </row>
    <row r="700" customFormat="false" ht="15" hidden="false" customHeight="false" outlineLevel="0" collapsed="false">
      <c r="A700" s="2" t="s">
        <v>1752</v>
      </c>
      <c r="B700" s="2" t="s">
        <v>933</v>
      </c>
      <c r="C700" s="2" t="s">
        <v>1061</v>
      </c>
      <c r="D700" s="2" t="s">
        <v>992</v>
      </c>
      <c r="E700" s="2" t="s">
        <v>369</v>
      </c>
      <c r="F700" s="2" t="n">
        <v>1</v>
      </c>
      <c r="G700" s="2" t="s">
        <v>1068</v>
      </c>
    </row>
    <row r="701" customFormat="false" ht="15" hidden="false" customHeight="false" outlineLevel="0" collapsed="false">
      <c r="A701" s="2" t="s">
        <v>1753</v>
      </c>
      <c r="B701" s="2" t="s">
        <v>933</v>
      </c>
      <c r="C701" s="2" t="s">
        <v>1061</v>
      </c>
      <c r="D701" s="2" t="s">
        <v>992</v>
      </c>
      <c r="E701" s="2" t="s">
        <v>472</v>
      </c>
      <c r="F701" s="2" t="n">
        <v>1</v>
      </c>
      <c r="G701" s="2" t="s">
        <v>1068</v>
      </c>
    </row>
    <row r="702" customFormat="false" ht="15" hidden="false" customHeight="false" outlineLevel="0" collapsed="false">
      <c r="A702" s="2" t="s">
        <v>1754</v>
      </c>
      <c r="B702" s="2" t="s">
        <v>933</v>
      </c>
      <c r="C702" s="2" t="s">
        <v>1071</v>
      </c>
      <c r="D702" s="2" t="s">
        <v>983</v>
      </c>
      <c r="E702" s="2" t="s">
        <v>484</v>
      </c>
      <c r="F702" s="2" t="n">
        <v>1</v>
      </c>
      <c r="G702" s="2" t="s">
        <v>1138</v>
      </c>
    </row>
    <row r="703" customFormat="false" ht="15" hidden="false" customHeight="false" outlineLevel="0" collapsed="false">
      <c r="A703" s="2" t="s">
        <v>1755</v>
      </c>
      <c r="B703" s="2" t="s">
        <v>933</v>
      </c>
      <c r="C703" s="2" t="s">
        <v>1071</v>
      </c>
      <c r="D703" s="2" t="s">
        <v>986</v>
      </c>
      <c r="E703" s="2" t="s">
        <v>280</v>
      </c>
      <c r="F703" s="2" t="n">
        <v>1</v>
      </c>
      <c r="G703" s="2" t="s">
        <v>1072</v>
      </c>
    </row>
    <row r="704" customFormat="false" ht="15" hidden="false" customHeight="false" outlineLevel="0" collapsed="false">
      <c r="A704" s="2" t="s">
        <v>1756</v>
      </c>
      <c r="B704" s="2" t="s">
        <v>933</v>
      </c>
      <c r="C704" s="2" t="s">
        <v>1071</v>
      </c>
      <c r="D704" s="2" t="s">
        <v>989</v>
      </c>
      <c r="E704" s="2" t="s">
        <v>323</v>
      </c>
      <c r="F704" s="2" t="n">
        <v>1</v>
      </c>
      <c r="G704" s="2" t="s">
        <v>1074</v>
      </c>
    </row>
    <row r="705" customFormat="false" ht="15" hidden="false" customHeight="false" outlineLevel="0" collapsed="false">
      <c r="A705" s="2" t="s">
        <v>1757</v>
      </c>
      <c r="B705" s="2" t="s">
        <v>933</v>
      </c>
      <c r="C705" s="2" t="s">
        <v>1071</v>
      </c>
      <c r="D705" s="2" t="s">
        <v>992</v>
      </c>
      <c r="E705" s="2" t="s">
        <v>369</v>
      </c>
      <c r="F705" s="2" t="n">
        <v>1</v>
      </c>
      <c r="G705" s="2" t="s">
        <v>1141</v>
      </c>
    </row>
    <row r="706" customFormat="false" ht="15" hidden="false" customHeight="false" outlineLevel="0" collapsed="false">
      <c r="A706" s="2" t="s">
        <v>1758</v>
      </c>
      <c r="B706" s="2" t="s">
        <v>933</v>
      </c>
      <c r="C706" s="2" t="s">
        <v>220</v>
      </c>
      <c r="D706" s="2" t="s">
        <v>983</v>
      </c>
      <c r="E706" s="2" t="s">
        <v>484</v>
      </c>
      <c r="F706" s="2" t="n">
        <v>1</v>
      </c>
      <c r="G706" s="2" t="s">
        <v>1076</v>
      </c>
    </row>
    <row r="707" customFormat="false" ht="15" hidden="false" customHeight="false" outlineLevel="0" collapsed="false">
      <c r="A707" s="2" t="s">
        <v>1759</v>
      </c>
      <c r="B707" s="2" t="s">
        <v>933</v>
      </c>
      <c r="C707" s="2" t="s">
        <v>220</v>
      </c>
      <c r="D707" s="2" t="s">
        <v>986</v>
      </c>
      <c r="E707" s="2" t="s">
        <v>392</v>
      </c>
      <c r="F707" s="2" t="n">
        <v>1</v>
      </c>
      <c r="G707" s="2" t="s">
        <v>1078</v>
      </c>
    </row>
    <row r="708" customFormat="false" ht="15" hidden="false" customHeight="false" outlineLevel="0" collapsed="false">
      <c r="A708" s="2" t="s">
        <v>1760</v>
      </c>
      <c r="B708" s="2" t="s">
        <v>933</v>
      </c>
      <c r="C708" s="2" t="s">
        <v>220</v>
      </c>
      <c r="D708" s="2" t="s">
        <v>989</v>
      </c>
      <c r="E708" s="2" t="s">
        <v>399</v>
      </c>
      <c r="F708" s="2" t="n">
        <v>1</v>
      </c>
      <c r="G708" s="2" t="s">
        <v>1080</v>
      </c>
    </row>
    <row r="709" customFormat="false" ht="15" hidden="false" customHeight="false" outlineLevel="0" collapsed="false">
      <c r="A709" s="2" t="s">
        <v>1761</v>
      </c>
      <c r="B709" s="2" t="s">
        <v>933</v>
      </c>
      <c r="C709" s="2" t="s">
        <v>220</v>
      </c>
      <c r="D709" s="2" t="s">
        <v>992</v>
      </c>
      <c r="E709" s="2" t="s">
        <v>466</v>
      </c>
      <c r="F709" s="2" t="n">
        <v>1</v>
      </c>
      <c r="G709" s="2" t="s">
        <v>1082</v>
      </c>
    </row>
    <row r="710" customFormat="false" ht="15" hidden="false" customHeight="false" outlineLevel="0" collapsed="false">
      <c r="A710" s="2" t="s">
        <v>1762</v>
      </c>
      <c r="B710" s="2" t="s">
        <v>933</v>
      </c>
      <c r="C710" s="2" t="s">
        <v>220</v>
      </c>
      <c r="D710" s="2" t="s">
        <v>992</v>
      </c>
      <c r="E710" s="2" t="s">
        <v>466</v>
      </c>
      <c r="F710" s="2" t="n">
        <v>1</v>
      </c>
      <c r="G710" s="2" t="s">
        <v>1082</v>
      </c>
    </row>
    <row r="711" customFormat="false" ht="15" hidden="false" customHeight="false" outlineLevel="0" collapsed="false">
      <c r="A711" s="2" t="s">
        <v>1763</v>
      </c>
      <c r="B711" s="2" t="s">
        <v>936</v>
      </c>
      <c r="C711" s="2" t="s">
        <v>1085</v>
      </c>
      <c r="D711" s="2" t="s">
        <v>986</v>
      </c>
      <c r="E711" s="2" t="s">
        <v>256</v>
      </c>
      <c r="F711" s="2" t="n">
        <v>1</v>
      </c>
      <c r="G711" s="2" t="s">
        <v>1088</v>
      </c>
    </row>
    <row r="712" customFormat="false" ht="15" hidden="false" customHeight="false" outlineLevel="0" collapsed="false">
      <c r="A712" s="2" t="s">
        <v>1764</v>
      </c>
      <c r="B712" s="2" t="s">
        <v>936</v>
      </c>
      <c r="C712" s="2" t="s">
        <v>1085</v>
      </c>
      <c r="D712" s="2" t="s">
        <v>989</v>
      </c>
      <c r="E712" s="2" t="s">
        <v>274</v>
      </c>
      <c r="F712" s="2" t="n">
        <v>1</v>
      </c>
      <c r="G712" s="2" t="s">
        <v>1090</v>
      </c>
    </row>
    <row r="713" customFormat="false" ht="15" hidden="false" customHeight="false" outlineLevel="0" collapsed="false">
      <c r="A713" s="2" t="s">
        <v>1765</v>
      </c>
      <c r="B713" s="2" t="s">
        <v>936</v>
      </c>
      <c r="C713" s="2" t="s">
        <v>1085</v>
      </c>
      <c r="D713" s="2" t="s">
        <v>992</v>
      </c>
      <c r="E713" s="2" t="s">
        <v>466</v>
      </c>
      <c r="F713" s="2" t="n">
        <v>1</v>
      </c>
      <c r="G713" s="2" t="s">
        <v>1092</v>
      </c>
    </row>
    <row r="714" customFormat="false" ht="15" hidden="false" customHeight="false" outlineLevel="0" collapsed="false">
      <c r="A714" s="2" t="s">
        <v>1766</v>
      </c>
      <c r="B714" s="2" t="s">
        <v>936</v>
      </c>
      <c r="C714" s="2" t="s">
        <v>1085</v>
      </c>
      <c r="D714" s="2" t="s">
        <v>992</v>
      </c>
      <c r="E714" s="2" t="s">
        <v>369</v>
      </c>
      <c r="F714" s="2" t="n">
        <v>1</v>
      </c>
      <c r="G714" s="2" t="s">
        <v>1092</v>
      </c>
    </row>
    <row r="715" customFormat="false" ht="15" hidden="false" customHeight="false" outlineLevel="0" collapsed="false">
      <c r="A715" s="2" t="s">
        <v>1767</v>
      </c>
      <c r="B715" s="2" t="s">
        <v>936</v>
      </c>
      <c r="C715" s="2" t="s">
        <v>982</v>
      </c>
      <c r="D715" s="2" t="s">
        <v>983</v>
      </c>
      <c r="E715" s="2" t="s">
        <v>484</v>
      </c>
      <c r="F715" s="2" t="n">
        <v>1</v>
      </c>
      <c r="G715" s="2" t="s">
        <v>984</v>
      </c>
    </row>
    <row r="716" customFormat="false" ht="15" hidden="false" customHeight="false" outlineLevel="0" collapsed="false">
      <c r="A716" s="2" t="s">
        <v>1768</v>
      </c>
      <c r="B716" s="2" t="s">
        <v>936</v>
      </c>
      <c r="C716" s="2" t="s">
        <v>982</v>
      </c>
      <c r="D716" s="2" t="s">
        <v>986</v>
      </c>
      <c r="E716" s="2" t="s">
        <v>256</v>
      </c>
      <c r="F716" s="2" t="n">
        <v>1</v>
      </c>
      <c r="G716" s="2" t="s">
        <v>987</v>
      </c>
    </row>
    <row r="717" customFormat="false" ht="15" hidden="false" customHeight="false" outlineLevel="0" collapsed="false">
      <c r="A717" s="2" t="s">
        <v>1769</v>
      </c>
      <c r="B717" s="2" t="s">
        <v>936</v>
      </c>
      <c r="C717" s="2" t="s">
        <v>982</v>
      </c>
      <c r="D717" s="2" t="s">
        <v>989</v>
      </c>
      <c r="E717" s="2" t="s">
        <v>424</v>
      </c>
      <c r="F717" s="2" t="n">
        <v>1</v>
      </c>
      <c r="G717" s="2" t="s">
        <v>990</v>
      </c>
    </row>
    <row r="718" customFormat="false" ht="15" hidden="false" customHeight="false" outlineLevel="0" collapsed="false">
      <c r="A718" s="2" t="s">
        <v>1770</v>
      </c>
      <c r="B718" s="2" t="s">
        <v>936</v>
      </c>
      <c r="C718" s="2" t="s">
        <v>982</v>
      </c>
      <c r="D718" s="2" t="s">
        <v>992</v>
      </c>
      <c r="E718" s="2" t="s">
        <v>369</v>
      </c>
      <c r="F718" s="2" t="n">
        <v>1</v>
      </c>
      <c r="G718" s="2" t="s">
        <v>993</v>
      </c>
    </row>
    <row r="719" customFormat="false" ht="15" hidden="false" customHeight="false" outlineLevel="0" collapsed="false">
      <c r="A719" s="2" t="s">
        <v>1771</v>
      </c>
      <c r="B719" s="2" t="s">
        <v>936</v>
      </c>
      <c r="C719" s="2" t="s">
        <v>982</v>
      </c>
      <c r="D719" s="2" t="s">
        <v>992</v>
      </c>
      <c r="E719" s="2" t="s">
        <v>496</v>
      </c>
      <c r="F719" s="2" t="n">
        <v>1</v>
      </c>
      <c r="G719" s="2" t="s">
        <v>993</v>
      </c>
    </row>
    <row r="720" customFormat="false" ht="15" hidden="false" customHeight="false" outlineLevel="0" collapsed="false">
      <c r="A720" s="2" t="s">
        <v>1772</v>
      </c>
      <c r="B720" s="2" t="s">
        <v>936</v>
      </c>
      <c r="C720" s="2" t="s">
        <v>982</v>
      </c>
      <c r="D720" s="2" t="s">
        <v>992</v>
      </c>
      <c r="E720" s="2" t="s">
        <v>496</v>
      </c>
      <c r="F720" s="2" t="n">
        <v>1</v>
      </c>
      <c r="G720" s="2" t="s">
        <v>993</v>
      </c>
    </row>
    <row r="721" customFormat="false" ht="15" hidden="false" customHeight="false" outlineLevel="0" collapsed="false">
      <c r="A721" s="2" t="s">
        <v>1773</v>
      </c>
      <c r="B721" s="2" t="s">
        <v>936</v>
      </c>
      <c r="C721" s="2" t="s">
        <v>996</v>
      </c>
      <c r="D721" s="2" t="s">
        <v>983</v>
      </c>
      <c r="E721" s="2" t="s">
        <v>341</v>
      </c>
      <c r="F721" s="2" t="n">
        <v>1</v>
      </c>
      <c r="G721" s="2" t="s">
        <v>997</v>
      </c>
    </row>
    <row r="722" customFormat="false" ht="15" hidden="false" customHeight="false" outlineLevel="0" collapsed="false">
      <c r="A722" s="2" t="s">
        <v>1774</v>
      </c>
      <c r="B722" s="2" t="s">
        <v>936</v>
      </c>
      <c r="C722" s="2" t="s">
        <v>996</v>
      </c>
      <c r="D722" s="2" t="s">
        <v>986</v>
      </c>
      <c r="E722" s="2" t="s">
        <v>211</v>
      </c>
      <c r="F722" s="2" t="n">
        <v>1</v>
      </c>
      <c r="G722" s="2" t="s">
        <v>999</v>
      </c>
    </row>
    <row r="723" customFormat="false" ht="15" hidden="false" customHeight="false" outlineLevel="0" collapsed="false">
      <c r="A723" s="2" t="s">
        <v>1775</v>
      </c>
      <c r="B723" s="2" t="s">
        <v>936</v>
      </c>
      <c r="C723" s="2" t="s">
        <v>996</v>
      </c>
      <c r="D723" s="2" t="s">
        <v>992</v>
      </c>
      <c r="E723" s="2" t="s">
        <v>369</v>
      </c>
      <c r="F723" s="2" t="n">
        <v>1</v>
      </c>
      <c r="G723" s="2" t="s">
        <v>1156</v>
      </c>
    </row>
    <row r="724" customFormat="false" ht="15" hidden="false" customHeight="false" outlineLevel="0" collapsed="false">
      <c r="A724" s="2" t="s">
        <v>1776</v>
      </c>
      <c r="B724" s="2" t="s">
        <v>936</v>
      </c>
      <c r="C724" s="2" t="s">
        <v>1019</v>
      </c>
      <c r="D724" s="2" t="s">
        <v>983</v>
      </c>
      <c r="E724" s="2" t="s">
        <v>268</v>
      </c>
      <c r="F724" s="2" t="n">
        <v>1</v>
      </c>
      <c r="G724" s="2" t="s">
        <v>1107</v>
      </c>
    </row>
    <row r="725" customFormat="false" ht="15" hidden="false" customHeight="false" outlineLevel="0" collapsed="false">
      <c r="A725" s="2" t="s">
        <v>1777</v>
      </c>
      <c r="B725" s="2" t="s">
        <v>936</v>
      </c>
      <c r="C725" s="2" t="s">
        <v>1019</v>
      </c>
      <c r="D725" s="2" t="s">
        <v>986</v>
      </c>
      <c r="E725" s="2" t="s">
        <v>286</v>
      </c>
      <c r="F725" s="2" t="n">
        <v>1</v>
      </c>
      <c r="G725" s="2" t="s">
        <v>1020</v>
      </c>
    </row>
    <row r="726" customFormat="false" ht="15" hidden="false" customHeight="false" outlineLevel="0" collapsed="false">
      <c r="A726" s="2" t="s">
        <v>1778</v>
      </c>
      <c r="B726" s="2" t="s">
        <v>936</v>
      </c>
      <c r="C726" s="2" t="s">
        <v>1019</v>
      </c>
      <c r="D726" s="2" t="s">
        <v>989</v>
      </c>
      <c r="E726" s="2" t="s">
        <v>256</v>
      </c>
      <c r="F726" s="2" t="n">
        <v>1</v>
      </c>
      <c r="G726" s="2" t="s">
        <v>1022</v>
      </c>
    </row>
    <row r="727" customFormat="false" ht="15" hidden="false" customHeight="false" outlineLevel="0" collapsed="false">
      <c r="A727" s="2" t="s">
        <v>1779</v>
      </c>
      <c r="B727" s="2" t="s">
        <v>936</v>
      </c>
      <c r="C727" s="2" t="s">
        <v>1019</v>
      </c>
      <c r="D727" s="2" t="s">
        <v>992</v>
      </c>
      <c r="E727" s="2" t="s">
        <v>335</v>
      </c>
      <c r="F727" s="2" t="n">
        <v>1</v>
      </c>
      <c r="G727" s="2" t="s">
        <v>1024</v>
      </c>
    </row>
    <row r="728" customFormat="false" ht="15" hidden="false" customHeight="false" outlineLevel="0" collapsed="false">
      <c r="A728" s="2" t="s">
        <v>1780</v>
      </c>
      <c r="B728" s="2" t="s">
        <v>936</v>
      </c>
      <c r="C728" s="2" t="s">
        <v>1019</v>
      </c>
      <c r="D728" s="2" t="s">
        <v>992</v>
      </c>
      <c r="E728" s="2" t="s">
        <v>459</v>
      </c>
      <c r="F728" s="2" t="n">
        <v>1</v>
      </c>
      <c r="G728" s="2" t="s">
        <v>1024</v>
      </c>
    </row>
    <row r="729" customFormat="false" ht="15" hidden="false" customHeight="false" outlineLevel="0" collapsed="false">
      <c r="A729" s="2" t="s">
        <v>1781</v>
      </c>
      <c r="B729" s="2" t="s">
        <v>936</v>
      </c>
      <c r="C729" s="2" t="s">
        <v>1026</v>
      </c>
      <c r="D729" s="2" t="s">
        <v>983</v>
      </c>
      <c r="E729" s="2" t="s">
        <v>335</v>
      </c>
      <c r="F729" s="2" t="n">
        <v>1</v>
      </c>
      <c r="G729" s="2" t="s">
        <v>1027</v>
      </c>
    </row>
    <row r="730" customFormat="false" ht="15" hidden="false" customHeight="false" outlineLevel="0" collapsed="false">
      <c r="A730" s="2" t="s">
        <v>1782</v>
      </c>
      <c r="B730" s="2" t="s">
        <v>936</v>
      </c>
      <c r="C730" s="2" t="s">
        <v>1026</v>
      </c>
      <c r="D730" s="2" t="s">
        <v>986</v>
      </c>
      <c r="E730" s="2" t="s">
        <v>347</v>
      </c>
      <c r="F730" s="2" t="n">
        <v>1</v>
      </c>
      <c r="G730" s="2" t="s">
        <v>1029</v>
      </c>
    </row>
    <row r="731" customFormat="false" ht="15" hidden="false" customHeight="false" outlineLevel="0" collapsed="false">
      <c r="A731" s="2" t="s">
        <v>1783</v>
      </c>
      <c r="B731" s="2" t="s">
        <v>936</v>
      </c>
      <c r="C731" s="2" t="s">
        <v>1026</v>
      </c>
      <c r="D731" s="2" t="s">
        <v>989</v>
      </c>
      <c r="E731" s="2" t="s">
        <v>280</v>
      </c>
      <c r="F731" s="2" t="n">
        <v>1</v>
      </c>
      <c r="G731" s="2" t="s">
        <v>1031</v>
      </c>
    </row>
    <row r="732" customFormat="false" ht="15" hidden="false" customHeight="false" outlineLevel="0" collapsed="false">
      <c r="A732" s="2" t="s">
        <v>1784</v>
      </c>
      <c r="B732" s="2" t="s">
        <v>936</v>
      </c>
      <c r="C732" s="2" t="s">
        <v>1033</v>
      </c>
      <c r="D732" s="2" t="s">
        <v>983</v>
      </c>
      <c r="E732" s="2" t="s">
        <v>239</v>
      </c>
      <c r="F732" s="2" t="n">
        <v>1</v>
      </c>
      <c r="G732" s="2" t="s">
        <v>1034</v>
      </c>
    </row>
    <row r="733" customFormat="false" ht="15" hidden="false" customHeight="false" outlineLevel="0" collapsed="false">
      <c r="A733" s="2" t="s">
        <v>1785</v>
      </c>
      <c r="B733" s="2" t="s">
        <v>936</v>
      </c>
      <c r="C733" s="2" t="s">
        <v>1033</v>
      </c>
      <c r="D733" s="2" t="s">
        <v>986</v>
      </c>
      <c r="E733" s="2" t="s">
        <v>341</v>
      </c>
      <c r="F733" s="2" t="n">
        <v>1</v>
      </c>
      <c r="G733" s="2" t="s">
        <v>1036</v>
      </c>
    </row>
    <row r="734" customFormat="false" ht="15" hidden="false" customHeight="false" outlineLevel="0" collapsed="false">
      <c r="A734" s="2" t="s">
        <v>1786</v>
      </c>
      <c r="B734" s="2" t="s">
        <v>936</v>
      </c>
      <c r="C734" s="2" t="s">
        <v>1033</v>
      </c>
      <c r="D734" s="2" t="s">
        <v>989</v>
      </c>
      <c r="E734" s="2" t="s">
        <v>442</v>
      </c>
      <c r="F734" s="2" t="n">
        <v>1</v>
      </c>
      <c r="G734" s="2" t="s">
        <v>1038</v>
      </c>
    </row>
    <row r="735" customFormat="false" ht="15" hidden="false" customHeight="false" outlineLevel="0" collapsed="false">
      <c r="A735" s="2" t="s">
        <v>1787</v>
      </c>
      <c r="B735" s="2" t="s">
        <v>936</v>
      </c>
      <c r="C735" s="2" t="s">
        <v>1033</v>
      </c>
      <c r="D735" s="2" t="s">
        <v>992</v>
      </c>
      <c r="E735" s="2" t="s">
        <v>484</v>
      </c>
      <c r="F735" s="2" t="n">
        <v>1</v>
      </c>
      <c r="G735" s="2" t="s">
        <v>1040</v>
      </c>
    </row>
    <row r="736" customFormat="false" ht="15" hidden="false" customHeight="false" outlineLevel="0" collapsed="false">
      <c r="A736" s="2" t="s">
        <v>1788</v>
      </c>
      <c r="B736" s="2" t="s">
        <v>936</v>
      </c>
      <c r="C736" s="2" t="s">
        <v>1033</v>
      </c>
      <c r="D736" s="2" t="s">
        <v>992</v>
      </c>
      <c r="E736" s="2" t="s">
        <v>466</v>
      </c>
      <c r="F736" s="2" t="n">
        <v>1</v>
      </c>
      <c r="G736" s="2" t="s">
        <v>1040</v>
      </c>
    </row>
    <row r="737" customFormat="false" ht="15" hidden="false" customHeight="false" outlineLevel="0" collapsed="false">
      <c r="A737" s="2" t="s">
        <v>1789</v>
      </c>
      <c r="B737" s="2" t="s">
        <v>936</v>
      </c>
      <c r="C737" s="2" t="s">
        <v>1043</v>
      </c>
      <c r="D737" s="2" t="s">
        <v>986</v>
      </c>
      <c r="E737" s="2" t="s">
        <v>329</v>
      </c>
      <c r="F737" s="2" t="n">
        <v>1</v>
      </c>
      <c r="G737" s="2" t="s">
        <v>1046</v>
      </c>
    </row>
    <row r="738" customFormat="false" ht="15" hidden="false" customHeight="false" outlineLevel="0" collapsed="false">
      <c r="A738" s="2" t="s">
        <v>1790</v>
      </c>
      <c r="B738" s="2" t="s">
        <v>936</v>
      </c>
      <c r="C738" s="2" t="s">
        <v>1043</v>
      </c>
      <c r="D738" s="2" t="s">
        <v>989</v>
      </c>
      <c r="E738" s="2" t="s">
        <v>239</v>
      </c>
      <c r="F738" s="2" t="n">
        <v>1</v>
      </c>
      <c r="G738" s="2" t="s">
        <v>1048</v>
      </c>
    </row>
    <row r="739" customFormat="false" ht="15" hidden="false" customHeight="false" outlineLevel="0" collapsed="false">
      <c r="A739" s="2" t="s">
        <v>1791</v>
      </c>
      <c r="B739" s="2" t="s">
        <v>936</v>
      </c>
      <c r="C739" s="2" t="s">
        <v>1052</v>
      </c>
      <c r="D739" s="2" t="s">
        <v>983</v>
      </c>
      <c r="E739" s="2" t="s">
        <v>262</v>
      </c>
      <c r="F739" s="2" t="n">
        <v>1</v>
      </c>
      <c r="G739" s="2" t="s">
        <v>1053</v>
      </c>
    </row>
    <row r="740" customFormat="false" ht="15" hidden="false" customHeight="false" outlineLevel="0" collapsed="false">
      <c r="A740" s="2" t="s">
        <v>1792</v>
      </c>
      <c r="B740" s="2" t="s">
        <v>936</v>
      </c>
      <c r="C740" s="2" t="s">
        <v>1052</v>
      </c>
      <c r="D740" s="2" t="s">
        <v>986</v>
      </c>
      <c r="E740" s="2" t="s">
        <v>392</v>
      </c>
      <c r="F740" s="2" t="n">
        <v>1</v>
      </c>
      <c r="G740" s="2" t="s">
        <v>1055</v>
      </c>
    </row>
    <row r="741" customFormat="false" ht="15" hidden="false" customHeight="false" outlineLevel="0" collapsed="false">
      <c r="A741" s="2" t="s">
        <v>1793</v>
      </c>
      <c r="B741" s="2" t="s">
        <v>936</v>
      </c>
      <c r="C741" s="2" t="s">
        <v>1052</v>
      </c>
      <c r="D741" s="2" t="s">
        <v>989</v>
      </c>
      <c r="E741" s="2" t="s">
        <v>347</v>
      </c>
      <c r="F741" s="2" t="n">
        <v>1</v>
      </c>
      <c r="G741" s="2" t="s">
        <v>1057</v>
      </c>
    </row>
    <row r="742" customFormat="false" ht="15" hidden="false" customHeight="false" outlineLevel="0" collapsed="false">
      <c r="A742" s="2" t="s">
        <v>1794</v>
      </c>
      <c r="B742" s="2" t="s">
        <v>936</v>
      </c>
      <c r="C742" s="2" t="s">
        <v>1052</v>
      </c>
      <c r="D742" s="2" t="s">
        <v>992</v>
      </c>
      <c r="E742" s="2" t="s">
        <v>459</v>
      </c>
      <c r="F742" s="2" t="n">
        <v>1</v>
      </c>
      <c r="G742" s="2" t="s">
        <v>1059</v>
      </c>
    </row>
    <row r="743" customFormat="false" ht="15" hidden="false" customHeight="false" outlineLevel="0" collapsed="false">
      <c r="A743" s="2" t="s">
        <v>1795</v>
      </c>
      <c r="B743" s="2" t="s">
        <v>936</v>
      </c>
      <c r="C743" s="2" t="s">
        <v>1128</v>
      </c>
      <c r="D743" s="2" t="s">
        <v>983</v>
      </c>
      <c r="E743" s="2" t="s">
        <v>484</v>
      </c>
      <c r="F743" s="2" t="n">
        <v>1</v>
      </c>
      <c r="G743" s="2" t="s">
        <v>1129</v>
      </c>
    </row>
    <row r="744" customFormat="false" ht="15" hidden="false" customHeight="false" outlineLevel="0" collapsed="false">
      <c r="A744" s="2" t="s">
        <v>1796</v>
      </c>
      <c r="B744" s="2" t="s">
        <v>936</v>
      </c>
      <c r="C744" s="2" t="s">
        <v>1128</v>
      </c>
      <c r="D744" s="2" t="s">
        <v>986</v>
      </c>
      <c r="E744" s="2" t="s">
        <v>347</v>
      </c>
      <c r="F744" s="2" t="n">
        <v>1</v>
      </c>
      <c r="G744" s="2" t="s">
        <v>1131</v>
      </c>
    </row>
    <row r="745" customFormat="false" ht="15" hidden="false" customHeight="false" outlineLevel="0" collapsed="false">
      <c r="A745" s="2" t="s">
        <v>1797</v>
      </c>
      <c r="B745" s="2" t="s">
        <v>936</v>
      </c>
      <c r="C745" s="2" t="s">
        <v>1128</v>
      </c>
      <c r="D745" s="2" t="s">
        <v>989</v>
      </c>
      <c r="E745" s="2" t="s">
        <v>311</v>
      </c>
      <c r="F745" s="2" t="n">
        <v>1</v>
      </c>
      <c r="G745" s="2" t="s">
        <v>1133</v>
      </c>
    </row>
    <row r="746" customFormat="false" ht="15" hidden="false" customHeight="false" outlineLevel="0" collapsed="false">
      <c r="A746" s="2" t="s">
        <v>1798</v>
      </c>
      <c r="B746" s="2" t="s">
        <v>936</v>
      </c>
      <c r="C746" s="2" t="s">
        <v>1128</v>
      </c>
      <c r="D746" s="2" t="s">
        <v>992</v>
      </c>
      <c r="E746" s="2" t="s">
        <v>472</v>
      </c>
      <c r="F746" s="2" t="n">
        <v>1</v>
      </c>
      <c r="G746" s="2" t="s">
        <v>1135</v>
      </c>
    </row>
    <row r="747" customFormat="false" ht="15" hidden="false" customHeight="false" outlineLevel="0" collapsed="false">
      <c r="A747" s="2" t="s">
        <v>1799</v>
      </c>
      <c r="B747" s="2" t="s">
        <v>936</v>
      </c>
      <c r="C747" s="2" t="s">
        <v>1061</v>
      </c>
      <c r="D747" s="2" t="s">
        <v>986</v>
      </c>
      <c r="E747" s="2" t="s">
        <v>227</v>
      </c>
      <c r="F747" s="2" t="n">
        <v>1</v>
      </c>
      <c r="G747" s="2" t="s">
        <v>1064</v>
      </c>
    </row>
    <row r="748" customFormat="false" ht="15" hidden="false" customHeight="false" outlineLevel="0" collapsed="false">
      <c r="A748" s="2" t="s">
        <v>1800</v>
      </c>
      <c r="B748" s="2" t="s">
        <v>936</v>
      </c>
      <c r="C748" s="2" t="s">
        <v>1061</v>
      </c>
      <c r="D748" s="2" t="s">
        <v>989</v>
      </c>
      <c r="E748" s="2" t="s">
        <v>347</v>
      </c>
      <c r="F748" s="2" t="n">
        <v>1</v>
      </c>
      <c r="G748" s="2" t="s">
        <v>1066</v>
      </c>
    </row>
    <row r="749" customFormat="false" ht="15" hidden="false" customHeight="false" outlineLevel="0" collapsed="false">
      <c r="A749" s="2" t="s">
        <v>1801</v>
      </c>
      <c r="B749" s="2" t="s">
        <v>936</v>
      </c>
      <c r="C749" s="2" t="s">
        <v>1061</v>
      </c>
      <c r="D749" s="2" t="s">
        <v>992</v>
      </c>
      <c r="E749" s="2" t="s">
        <v>335</v>
      </c>
      <c r="F749" s="2" t="n">
        <v>1</v>
      </c>
      <c r="G749" s="2" t="s">
        <v>1068</v>
      </c>
    </row>
    <row r="750" customFormat="false" ht="15" hidden="false" customHeight="false" outlineLevel="0" collapsed="false">
      <c r="A750" s="2" t="s">
        <v>1802</v>
      </c>
      <c r="B750" s="2" t="s">
        <v>936</v>
      </c>
      <c r="C750" s="2" t="s">
        <v>1071</v>
      </c>
      <c r="D750" s="2" t="s">
        <v>986</v>
      </c>
      <c r="E750" s="2" t="s">
        <v>335</v>
      </c>
      <c r="F750" s="2" t="n">
        <v>1</v>
      </c>
      <c r="G750" s="2" t="s">
        <v>1072</v>
      </c>
    </row>
    <row r="751" customFormat="false" ht="15" hidden="false" customHeight="false" outlineLevel="0" collapsed="false">
      <c r="A751" s="2" t="s">
        <v>1803</v>
      </c>
      <c r="B751" s="2" t="s">
        <v>936</v>
      </c>
      <c r="C751" s="2" t="s">
        <v>1071</v>
      </c>
      <c r="D751" s="2" t="s">
        <v>989</v>
      </c>
      <c r="E751" s="2" t="s">
        <v>454</v>
      </c>
      <c r="F751" s="2" t="n">
        <v>1</v>
      </c>
      <c r="G751" s="2" t="s">
        <v>1074</v>
      </c>
    </row>
    <row r="752" customFormat="false" ht="15" hidden="false" customHeight="false" outlineLevel="0" collapsed="false">
      <c r="A752" s="2" t="s">
        <v>1804</v>
      </c>
      <c r="B752" s="2" t="s">
        <v>936</v>
      </c>
      <c r="C752" s="2" t="s">
        <v>220</v>
      </c>
      <c r="D752" s="2" t="s">
        <v>983</v>
      </c>
      <c r="E752" s="2" t="s">
        <v>245</v>
      </c>
      <c r="F752" s="2" t="n">
        <v>1</v>
      </c>
      <c r="G752" s="2" t="s">
        <v>1076</v>
      </c>
    </row>
    <row r="753" customFormat="false" ht="15" hidden="false" customHeight="false" outlineLevel="0" collapsed="false">
      <c r="A753" s="2" t="s">
        <v>1805</v>
      </c>
      <c r="B753" s="2" t="s">
        <v>936</v>
      </c>
      <c r="C753" s="2" t="s">
        <v>220</v>
      </c>
      <c r="D753" s="2" t="s">
        <v>986</v>
      </c>
      <c r="E753" s="2" t="s">
        <v>221</v>
      </c>
      <c r="F753" s="2" t="n">
        <v>1</v>
      </c>
      <c r="G753" s="2" t="s">
        <v>1078</v>
      </c>
    </row>
    <row r="754" customFormat="false" ht="15" hidden="false" customHeight="false" outlineLevel="0" collapsed="false">
      <c r="A754" s="2" t="s">
        <v>1806</v>
      </c>
      <c r="B754" s="2" t="s">
        <v>936</v>
      </c>
      <c r="C754" s="2" t="s">
        <v>220</v>
      </c>
      <c r="D754" s="2" t="s">
        <v>989</v>
      </c>
      <c r="E754" s="2" t="s">
        <v>442</v>
      </c>
      <c r="F754" s="2" t="n">
        <v>1</v>
      </c>
      <c r="G754" s="2" t="s">
        <v>1080</v>
      </c>
    </row>
    <row r="755" customFormat="false" ht="15" hidden="false" customHeight="false" outlineLevel="0" collapsed="false">
      <c r="A755" s="2" t="s">
        <v>1807</v>
      </c>
      <c r="B755" s="2" t="s">
        <v>936</v>
      </c>
      <c r="C755" s="2" t="s">
        <v>220</v>
      </c>
      <c r="D755" s="2" t="s">
        <v>992</v>
      </c>
      <c r="E755" s="2" t="s">
        <v>472</v>
      </c>
      <c r="F755" s="2" t="n">
        <v>1</v>
      </c>
      <c r="G755" s="2" t="s">
        <v>1082</v>
      </c>
    </row>
    <row r="756" customFormat="false" ht="15" hidden="false" customHeight="false" outlineLevel="0" collapsed="false">
      <c r="A756" s="2" t="s">
        <v>1808</v>
      </c>
      <c r="B756" s="2" t="s">
        <v>939</v>
      </c>
      <c r="C756" s="2" t="s">
        <v>982</v>
      </c>
      <c r="D756" s="2" t="s">
        <v>983</v>
      </c>
      <c r="E756" s="2" t="s">
        <v>311</v>
      </c>
      <c r="F756" s="2" t="n">
        <v>1</v>
      </c>
      <c r="G756" s="2" t="s">
        <v>984</v>
      </c>
    </row>
    <row r="757" customFormat="false" ht="15" hidden="false" customHeight="false" outlineLevel="0" collapsed="false">
      <c r="A757" s="2" t="s">
        <v>1809</v>
      </c>
      <c r="B757" s="2" t="s">
        <v>939</v>
      </c>
      <c r="C757" s="2" t="s">
        <v>982</v>
      </c>
      <c r="D757" s="2" t="s">
        <v>986</v>
      </c>
      <c r="E757" s="2" t="s">
        <v>298</v>
      </c>
      <c r="F757" s="2" t="n">
        <v>1</v>
      </c>
      <c r="G757" s="2" t="s">
        <v>987</v>
      </c>
    </row>
    <row r="758" customFormat="false" ht="15" hidden="false" customHeight="false" outlineLevel="0" collapsed="false">
      <c r="A758" s="2" t="s">
        <v>1810</v>
      </c>
      <c r="B758" s="2" t="s">
        <v>939</v>
      </c>
      <c r="C758" s="2" t="s">
        <v>982</v>
      </c>
      <c r="D758" s="2" t="s">
        <v>989</v>
      </c>
      <c r="E758" s="2" t="s">
        <v>274</v>
      </c>
      <c r="F758" s="2" t="n">
        <v>1</v>
      </c>
      <c r="G758" s="2" t="s">
        <v>990</v>
      </c>
    </row>
    <row r="759" customFormat="false" ht="15" hidden="false" customHeight="false" outlineLevel="0" collapsed="false">
      <c r="A759" s="2" t="s">
        <v>1811</v>
      </c>
      <c r="B759" s="2" t="s">
        <v>939</v>
      </c>
      <c r="C759" s="2" t="s">
        <v>982</v>
      </c>
      <c r="D759" s="2" t="s">
        <v>992</v>
      </c>
      <c r="E759" s="2" t="s">
        <v>335</v>
      </c>
      <c r="F759" s="2" t="n">
        <v>1</v>
      </c>
      <c r="G759" s="2" t="s">
        <v>993</v>
      </c>
    </row>
    <row r="760" customFormat="false" ht="15" hidden="false" customHeight="false" outlineLevel="0" collapsed="false">
      <c r="A760" s="2" t="s">
        <v>1812</v>
      </c>
      <c r="B760" s="2" t="s">
        <v>939</v>
      </c>
      <c r="C760" s="2" t="s">
        <v>996</v>
      </c>
      <c r="D760" s="2" t="s">
        <v>983</v>
      </c>
      <c r="E760" s="2" t="s">
        <v>233</v>
      </c>
      <c r="F760" s="2" t="n">
        <v>1</v>
      </c>
      <c r="G760" s="2" t="s">
        <v>997</v>
      </c>
    </row>
    <row r="761" customFormat="false" ht="15" hidden="false" customHeight="false" outlineLevel="0" collapsed="false">
      <c r="A761" s="2" t="s">
        <v>1813</v>
      </c>
      <c r="B761" s="2" t="s">
        <v>939</v>
      </c>
      <c r="C761" s="2" t="s">
        <v>996</v>
      </c>
      <c r="D761" s="2" t="s">
        <v>986</v>
      </c>
      <c r="E761" s="2" t="s">
        <v>280</v>
      </c>
      <c r="F761" s="2" t="n">
        <v>1</v>
      </c>
      <c r="G761" s="2" t="s">
        <v>999</v>
      </c>
    </row>
    <row r="762" customFormat="false" ht="15" hidden="false" customHeight="false" outlineLevel="0" collapsed="false">
      <c r="A762" s="2" t="s">
        <v>1814</v>
      </c>
      <c r="B762" s="2" t="s">
        <v>939</v>
      </c>
      <c r="C762" s="2" t="s">
        <v>996</v>
      </c>
      <c r="D762" s="2" t="s">
        <v>989</v>
      </c>
      <c r="E762" s="2" t="s">
        <v>399</v>
      </c>
      <c r="F762" s="2" t="n">
        <v>1</v>
      </c>
      <c r="G762" s="2" t="s">
        <v>1001</v>
      </c>
    </row>
    <row r="763" customFormat="false" ht="15" hidden="false" customHeight="false" outlineLevel="0" collapsed="false">
      <c r="A763" s="2" t="s">
        <v>1815</v>
      </c>
      <c r="B763" s="2" t="s">
        <v>939</v>
      </c>
      <c r="C763" s="2" t="s">
        <v>996</v>
      </c>
      <c r="D763" s="2" t="s">
        <v>992</v>
      </c>
      <c r="E763" s="2" t="s">
        <v>496</v>
      </c>
      <c r="F763" s="2" t="n">
        <v>1</v>
      </c>
      <c r="G763" s="2" t="s">
        <v>1156</v>
      </c>
    </row>
    <row r="764" customFormat="false" ht="15" hidden="false" customHeight="false" outlineLevel="0" collapsed="false">
      <c r="A764" s="2" t="s">
        <v>1816</v>
      </c>
      <c r="B764" s="2" t="s">
        <v>939</v>
      </c>
      <c r="C764" s="2" t="s">
        <v>1003</v>
      </c>
      <c r="D764" s="2" t="s">
        <v>983</v>
      </c>
      <c r="E764" s="2" t="s">
        <v>292</v>
      </c>
      <c r="F764" s="2" t="n">
        <v>1</v>
      </c>
      <c r="G764" s="2" t="s">
        <v>1004</v>
      </c>
    </row>
    <row r="765" customFormat="false" ht="15" hidden="false" customHeight="false" outlineLevel="0" collapsed="false">
      <c r="A765" s="2" t="s">
        <v>1817</v>
      </c>
      <c r="B765" s="2" t="s">
        <v>939</v>
      </c>
      <c r="C765" s="2" t="s">
        <v>1003</v>
      </c>
      <c r="D765" s="2" t="s">
        <v>986</v>
      </c>
      <c r="E765" s="2" t="s">
        <v>286</v>
      </c>
      <c r="F765" s="2" t="n">
        <v>1</v>
      </c>
      <c r="G765" s="2" t="s">
        <v>1006</v>
      </c>
    </row>
    <row r="766" customFormat="false" ht="15" hidden="false" customHeight="false" outlineLevel="0" collapsed="false">
      <c r="A766" s="2" t="s">
        <v>1818</v>
      </c>
      <c r="B766" s="2" t="s">
        <v>939</v>
      </c>
      <c r="C766" s="2" t="s">
        <v>1003</v>
      </c>
      <c r="D766" s="2" t="s">
        <v>989</v>
      </c>
      <c r="E766" s="2" t="s">
        <v>335</v>
      </c>
      <c r="F766" s="2" t="n">
        <v>1</v>
      </c>
      <c r="G766" s="2" t="s">
        <v>1008</v>
      </c>
    </row>
    <row r="767" customFormat="false" ht="15" hidden="false" customHeight="false" outlineLevel="0" collapsed="false">
      <c r="A767" s="2" t="s">
        <v>1819</v>
      </c>
      <c r="B767" s="2" t="s">
        <v>939</v>
      </c>
      <c r="C767" s="2" t="s">
        <v>1003</v>
      </c>
      <c r="D767" s="2" t="s">
        <v>992</v>
      </c>
      <c r="E767" s="2" t="s">
        <v>484</v>
      </c>
      <c r="F767" s="2" t="n">
        <v>1</v>
      </c>
      <c r="G767" s="2" t="s">
        <v>1103</v>
      </c>
    </row>
    <row r="768" customFormat="false" ht="15" hidden="false" customHeight="false" outlineLevel="0" collapsed="false">
      <c r="A768" s="2" t="s">
        <v>1820</v>
      </c>
      <c r="B768" s="2" t="s">
        <v>939</v>
      </c>
      <c r="C768" s="2" t="s">
        <v>1010</v>
      </c>
      <c r="D768" s="2" t="s">
        <v>986</v>
      </c>
      <c r="E768" s="2" t="s">
        <v>399</v>
      </c>
      <c r="F768" s="2" t="n">
        <v>1</v>
      </c>
      <c r="G768" s="2" t="s">
        <v>1013</v>
      </c>
    </row>
    <row r="769" customFormat="false" ht="15" hidden="false" customHeight="false" outlineLevel="0" collapsed="false">
      <c r="A769" s="2" t="s">
        <v>1821</v>
      </c>
      <c r="B769" s="2" t="s">
        <v>939</v>
      </c>
      <c r="C769" s="2" t="s">
        <v>1010</v>
      </c>
      <c r="D769" s="2" t="s">
        <v>989</v>
      </c>
      <c r="E769" s="2" t="s">
        <v>424</v>
      </c>
      <c r="F769" s="2" t="n">
        <v>1</v>
      </c>
      <c r="G769" s="2" t="s">
        <v>1015</v>
      </c>
    </row>
    <row r="770" customFormat="false" ht="15" hidden="false" customHeight="false" outlineLevel="0" collapsed="false">
      <c r="A770" s="2" t="s">
        <v>1822</v>
      </c>
      <c r="B770" s="2" t="s">
        <v>939</v>
      </c>
      <c r="C770" s="2" t="s">
        <v>1019</v>
      </c>
      <c r="D770" s="2" t="s">
        <v>986</v>
      </c>
      <c r="E770" s="2" t="s">
        <v>298</v>
      </c>
      <c r="F770" s="2" t="n">
        <v>1</v>
      </c>
      <c r="G770" s="2" t="s">
        <v>1020</v>
      </c>
    </row>
    <row r="771" customFormat="false" ht="15" hidden="false" customHeight="false" outlineLevel="0" collapsed="false">
      <c r="A771" s="2" t="s">
        <v>1823</v>
      </c>
      <c r="B771" s="2" t="s">
        <v>939</v>
      </c>
      <c r="C771" s="2" t="s">
        <v>1019</v>
      </c>
      <c r="D771" s="2" t="s">
        <v>989</v>
      </c>
      <c r="E771" s="2" t="s">
        <v>363</v>
      </c>
      <c r="F771" s="2" t="n">
        <v>1</v>
      </c>
      <c r="G771" s="2" t="s">
        <v>1022</v>
      </c>
    </row>
    <row r="772" customFormat="false" ht="15" hidden="false" customHeight="false" outlineLevel="0" collapsed="false">
      <c r="A772" s="2" t="s">
        <v>1824</v>
      </c>
      <c r="B772" s="2" t="s">
        <v>939</v>
      </c>
      <c r="C772" s="2" t="s">
        <v>1019</v>
      </c>
      <c r="D772" s="2" t="s">
        <v>992</v>
      </c>
      <c r="E772" s="2" t="s">
        <v>466</v>
      </c>
      <c r="F772" s="2" t="n">
        <v>1</v>
      </c>
      <c r="G772" s="2" t="s">
        <v>1024</v>
      </c>
    </row>
    <row r="773" customFormat="false" ht="15" hidden="false" customHeight="false" outlineLevel="0" collapsed="false">
      <c r="A773" s="2" t="s">
        <v>1825</v>
      </c>
      <c r="B773" s="2" t="s">
        <v>939</v>
      </c>
      <c r="C773" s="2" t="s">
        <v>1026</v>
      </c>
      <c r="D773" s="2" t="s">
        <v>983</v>
      </c>
      <c r="E773" s="2" t="s">
        <v>245</v>
      </c>
      <c r="F773" s="2" t="n">
        <v>1</v>
      </c>
      <c r="G773" s="2" t="s">
        <v>1027</v>
      </c>
    </row>
    <row r="774" customFormat="false" ht="15" hidden="false" customHeight="false" outlineLevel="0" collapsed="false">
      <c r="A774" s="2" t="s">
        <v>1826</v>
      </c>
      <c r="B774" s="2" t="s">
        <v>939</v>
      </c>
      <c r="C774" s="2" t="s">
        <v>1026</v>
      </c>
      <c r="D774" s="2" t="s">
        <v>986</v>
      </c>
      <c r="E774" s="2" t="s">
        <v>341</v>
      </c>
      <c r="F774" s="2" t="n">
        <v>1</v>
      </c>
      <c r="G774" s="2" t="s">
        <v>1029</v>
      </c>
    </row>
    <row r="775" customFormat="false" ht="15" hidden="false" customHeight="false" outlineLevel="0" collapsed="false">
      <c r="A775" s="2" t="s">
        <v>1827</v>
      </c>
      <c r="B775" s="2" t="s">
        <v>939</v>
      </c>
      <c r="C775" s="2" t="s">
        <v>1026</v>
      </c>
      <c r="D775" s="2" t="s">
        <v>989</v>
      </c>
      <c r="E775" s="2" t="s">
        <v>329</v>
      </c>
      <c r="F775" s="2" t="n">
        <v>1</v>
      </c>
      <c r="G775" s="2" t="s">
        <v>1031</v>
      </c>
    </row>
    <row r="776" customFormat="false" ht="15" hidden="false" customHeight="false" outlineLevel="0" collapsed="false">
      <c r="A776" s="2" t="s">
        <v>1828</v>
      </c>
      <c r="B776" s="2" t="s">
        <v>939</v>
      </c>
      <c r="C776" s="2" t="s">
        <v>1033</v>
      </c>
      <c r="D776" s="2" t="s">
        <v>989</v>
      </c>
      <c r="E776" s="2" t="s">
        <v>250</v>
      </c>
      <c r="F776" s="2" t="n">
        <v>1</v>
      </c>
      <c r="G776" s="2" t="s">
        <v>1038</v>
      </c>
    </row>
    <row r="777" customFormat="false" ht="15" hidden="false" customHeight="false" outlineLevel="0" collapsed="false">
      <c r="A777" s="2" t="s">
        <v>1829</v>
      </c>
      <c r="B777" s="2" t="s">
        <v>939</v>
      </c>
      <c r="C777" s="2" t="s">
        <v>1033</v>
      </c>
      <c r="D777" s="2" t="s">
        <v>992</v>
      </c>
      <c r="E777" s="2" t="s">
        <v>369</v>
      </c>
      <c r="F777" s="2" t="n">
        <v>1</v>
      </c>
      <c r="G777" s="2" t="s">
        <v>1040</v>
      </c>
    </row>
    <row r="778" customFormat="false" ht="15" hidden="false" customHeight="false" outlineLevel="0" collapsed="false">
      <c r="A778" s="2" t="s">
        <v>1830</v>
      </c>
      <c r="B778" s="2" t="s">
        <v>939</v>
      </c>
      <c r="C778" s="2" t="s">
        <v>1033</v>
      </c>
      <c r="D778" s="2" t="s">
        <v>992</v>
      </c>
      <c r="E778" s="2" t="s">
        <v>472</v>
      </c>
      <c r="F778" s="2" t="n">
        <v>1</v>
      </c>
      <c r="G778" s="2" t="s">
        <v>1040</v>
      </c>
    </row>
    <row r="779" customFormat="false" ht="15" hidden="false" customHeight="false" outlineLevel="0" collapsed="false">
      <c r="A779" s="2" t="s">
        <v>1831</v>
      </c>
      <c r="B779" s="2" t="s">
        <v>939</v>
      </c>
      <c r="C779" s="2" t="s">
        <v>1043</v>
      </c>
      <c r="D779" s="2" t="s">
        <v>986</v>
      </c>
      <c r="E779" s="2" t="s">
        <v>386</v>
      </c>
      <c r="F779" s="2" t="n">
        <v>1</v>
      </c>
      <c r="G779" s="2" t="s">
        <v>1046</v>
      </c>
    </row>
    <row r="780" customFormat="false" ht="15" hidden="false" customHeight="false" outlineLevel="0" collapsed="false">
      <c r="A780" s="2" t="s">
        <v>1832</v>
      </c>
      <c r="B780" s="2" t="s">
        <v>939</v>
      </c>
      <c r="C780" s="2" t="s">
        <v>1043</v>
      </c>
      <c r="D780" s="2" t="s">
        <v>992</v>
      </c>
      <c r="E780" s="2" t="s">
        <v>369</v>
      </c>
      <c r="F780" s="2" t="n">
        <v>1</v>
      </c>
      <c r="G780" s="2" t="s">
        <v>1050</v>
      </c>
    </row>
    <row r="781" customFormat="false" ht="15" hidden="false" customHeight="false" outlineLevel="0" collapsed="false">
      <c r="A781" s="2" t="s">
        <v>1833</v>
      </c>
      <c r="B781" s="2" t="s">
        <v>939</v>
      </c>
      <c r="C781" s="2" t="s">
        <v>1052</v>
      </c>
      <c r="D781" s="2" t="s">
        <v>983</v>
      </c>
      <c r="E781" s="2" t="s">
        <v>341</v>
      </c>
      <c r="F781" s="2" t="n">
        <v>1</v>
      </c>
      <c r="G781" s="2" t="s">
        <v>1053</v>
      </c>
    </row>
    <row r="782" customFormat="false" ht="15" hidden="false" customHeight="false" outlineLevel="0" collapsed="false">
      <c r="A782" s="2" t="s">
        <v>1834</v>
      </c>
      <c r="B782" s="2" t="s">
        <v>939</v>
      </c>
      <c r="C782" s="2" t="s">
        <v>1052</v>
      </c>
      <c r="D782" s="2" t="s">
        <v>986</v>
      </c>
      <c r="E782" s="2" t="s">
        <v>286</v>
      </c>
      <c r="F782" s="2" t="n">
        <v>1</v>
      </c>
      <c r="G782" s="2" t="s">
        <v>1055</v>
      </c>
    </row>
    <row r="783" customFormat="false" ht="15" hidden="false" customHeight="false" outlineLevel="0" collapsed="false">
      <c r="A783" s="2" t="s">
        <v>1835</v>
      </c>
      <c r="B783" s="2" t="s">
        <v>939</v>
      </c>
      <c r="C783" s="2" t="s">
        <v>1052</v>
      </c>
      <c r="D783" s="2" t="s">
        <v>989</v>
      </c>
      <c r="E783" s="2" t="s">
        <v>329</v>
      </c>
      <c r="F783" s="2" t="n">
        <v>1</v>
      </c>
      <c r="G783" s="2" t="s">
        <v>1057</v>
      </c>
    </row>
    <row r="784" customFormat="false" ht="15" hidden="false" customHeight="false" outlineLevel="0" collapsed="false">
      <c r="A784" s="2" t="s">
        <v>1836</v>
      </c>
      <c r="B784" s="2" t="s">
        <v>939</v>
      </c>
      <c r="C784" s="2" t="s">
        <v>1052</v>
      </c>
      <c r="D784" s="2" t="s">
        <v>992</v>
      </c>
      <c r="E784" s="2" t="s">
        <v>484</v>
      </c>
      <c r="F784" s="2" t="n">
        <v>1</v>
      </c>
      <c r="G784" s="2" t="s">
        <v>1059</v>
      </c>
    </row>
    <row r="785" customFormat="false" ht="15" hidden="false" customHeight="false" outlineLevel="0" collapsed="false">
      <c r="A785" s="2" t="s">
        <v>1837</v>
      </c>
      <c r="B785" s="2" t="s">
        <v>939</v>
      </c>
      <c r="C785" s="2" t="s">
        <v>1128</v>
      </c>
      <c r="D785" s="2" t="s">
        <v>983</v>
      </c>
      <c r="E785" s="2" t="s">
        <v>484</v>
      </c>
      <c r="F785" s="2" t="n">
        <v>1</v>
      </c>
      <c r="G785" s="2" t="s">
        <v>1129</v>
      </c>
    </row>
    <row r="786" customFormat="false" ht="15" hidden="false" customHeight="false" outlineLevel="0" collapsed="false">
      <c r="A786" s="2" t="s">
        <v>1838</v>
      </c>
      <c r="B786" s="2" t="s">
        <v>939</v>
      </c>
      <c r="C786" s="2" t="s">
        <v>1128</v>
      </c>
      <c r="D786" s="2" t="s">
        <v>986</v>
      </c>
      <c r="E786" s="2" t="s">
        <v>317</v>
      </c>
      <c r="F786" s="2" t="n">
        <v>1</v>
      </c>
      <c r="G786" s="2" t="s">
        <v>1131</v>
      </c>
    </row>
    <row r="787" customFormat="false" ht="15" hidden="false" customHeight="false" outlineLevel="0" collapsed="false">
      <c r="A787" s="2" t="s">
        <v>1839</v>
      </c>
      <c r="B787" s="2" t="s">
        <v>939</v>
      </c>
      <c r="C787" s="2" t="s">
        <v>1128</v>
      </c>
      <c r="D787" s="2" t="s">
        <v>989</v>
      </c>
      <c r="E787" s="2" t="s">
        <v>352</v>
      </c>
      <c r="F787" s="2" t="n">
        <v>1</v>
      </c>
      <c r="G787" s="2" t="s">
        <v>1133</v>
      </c>
    </row>
    <row r="788" customFormat="false" ht="15" hidden="false" customHeight="false" outlineLevel="0" collapsed="false">
      <c r="A788" s="2" t="s">
        <v>1840</v>
      </c>
      <c r="B788" s="2" t="s">
        <v>939</v>
      </c>
      <c r="C788" s="2" t="s">
        <v>1128</v>
      </c>
      <c r="D788" s="2" t="s">
        <v>992</v>
      </c>
      <c r="E788" s="2" t="s">
        <v>369</v>
      </c>
      <c r="F788" s="2" t="n">
        <v>1</v>
      </c>
      <c r="G788" s="2" t="s">
        <v>1135</v>
      </c>
    </row>
    <row r="789" customFormat="false" ht="15" hidden="false" customHeight="false" outlineLevel="0" collapsed="false">
      <c r="A789" s="2" t="s">
        <v>1841</v>
      </c>
      <c r="B789" s="2" t="s">
        <v>939</v>
      </c>
      <c r="C789" s="2" t="s">
        <v>1128</v>
      </c>
      <c r="D789" s="2" t="s">
        <v>992</v>
      </c>
      <c r="E789" s="2" t="s">
        <v>472</v>
      </c>
      <c r="F789" s="2" t="n">
        <v>1</v>
      </c>
      <c r="G789" s="2" t="s">
        <v>1135</v>
      </c>
    </row>
    <row r="790" customFormat="false" ht="15" hidden="false" customHeight="false" outlineLevel="0" collapsed="false">
      <c r="A790" s="2" t="s">
        <v>1842</v>
      </c>
      <c r="B790" s="2" t="s">
        <v>939</v>
      </c>
      <c r="C790" s="2" t="s">
        <v>1128</v>
      </c>
      <c r="D790" s="2" t="s">
        <v>992</v>
      </c>
      <c r="E790" s="2" t="s">
        <v>466</v>
      </c>
      <c r="F790" s="2" t="n">
        <v>1</v>
      </c>
      <c r="G790" s="2" t="s">
        <v>1135</v>
      </c>
    </row>
    <row r="791" customFormat="false" ht="15" hidden="false" customHeight="false" outlineLevel="0" collapsed="false">
      <c r="A791" s="2" t="s">
        <v>1843</v>
      </c>
      <c r="B791" s="2" t="s">
        <v>939</v>
      </c>
      <c r="C791" s="2" t="s">
        <v>1061</v>
      </c>
      <c r="D791" s="2" t="s">
        <v>983</v>
      </c>
      <c r="E791" s="2" t="s">
        <v>286</v>
      </c>
      <c r="F791" s="2" t="n">
        <v>1</v>
      </c>
      <c r="G791" s="2" t="s">
        <v>1062</v>
      </c>
    </row>
    <row r="792" customFormat="false" ht="15" hidden="false" customHeight="false" outlineLevel="0" collapsed="false">
      <c r="A792" s="2" t="s">
        <v>1844</v>
      </c>
      <c r="B792" s="2" t="s">
        <v>939</v>
      </c>
      <c r="C792" s="2" t="s">
        <v>1061</v>
      </c>
      <c r="D792" s="2" t="s">
        <v>986</v>
      </c>
      <c r="E792" s="2" t="s">
        <v>352</v>
      </c>
      <c r="F792" s="2" t="n">
        <v>1</v>
      </c>
      <c r="G792" s="2" t="s">
        <v>1064</v>
      </c>
    </row>
    <row r="793" customFormat="false" ht="15" hidden="false" customHeight="false" outlineLevel="0" collapsed="false">
      <c r="A793" s="2" t="s">
        <v>1845</v>
      </c>
      <c r="B793" s="2" t="s">
        <v>939</v>
      </c>
      <c r="C793" s="2" t="s">
        <v>1061</v>
      </c>
      <c r="D793" s="2" t="s">
        <v>989</v>
      </c>
      <c r="E793" s="2" t="s">
        <v>256</v>
      </c>
      <c r="F793" s="2" t="n">
        <v>1</v>
      </c>
      <c r="G793" s="2" t="s">
        <v>1066</v>
      </c>
    </row>
    <row r="794" customFormat="false" ht="15" hidden="false" customHeight="false" outlineLevel="0" collapsed="false">
      <c r="A794" s="2" t="s">
        <v>1846</v>
      </c>
      <c r="B794" s="2" t="s">
        <v>939</v>
      </c>
      <c r="C794" s="2" t="s">
        <v>1061</v>
      </c>
      <c r="D794" s="2" t="s">
        <v>992</v>
      </c>
      <c r="E794" s="2" t="s">
        <v>484</v>
      </c>
      <c r="F794" s="2" t="n">
        <v>1</v>
      </c>
      <c r="G794" s="2" t="s">
        <v>1068</v>
      </c>
    </row>
    <row r="795" customFormat="false" ht="15" hidden="false" customHeight="false" outlineLevel="0" collapsed="false">
      <c r="A795" s="2" t="s">
        <v>1847</v>
      </c>
      <c r="B795" s="2" t="s">
        <v>939</v>
      </c>
      <c r="C795" s="2" t="s">
        <v>220</v>
      </c>
      <c r="D795" s="2" t="s">
        <v>986</v>
      </c>
      <c r="E795" s="2" t="s">
        <v>250</v>
      </c>
      <c r="F795" s="2" t="n">
        <v>1</v>
      </c>
      <c r="G795" s="2" t="s">
        <v>1078</v>
      </c>
    </row>
    <row r="796" customFormat="false" ht="15" hidden="false" customHeight="false" outlineLevel="0" collapsed="false">
      <c r="A796" s="2" t="s">
        <v>1848</v>
      </c>
      <c r="B796" s="2" t="s">
        <v>939</v>
      </c>
      <c r="C796" s="2" t="s">
        <v>220</v>
      </c>
      <c r="D796" s="2" t="s">
        <v>989</v>
      </c>
      <c r="E796" s="2" t="s">
        <v>311</v>
      </c>
      <c r="F796" s="2" t="n">
        <v>1</v>
      </c>
      <c r="G796" s="2" t="s">
        <v>1080</v>
      </c>
    </row>
    <row r="797" customFormat="false" ht="15" hidden="false" customHeight="false" outlineLevel="0" collapsed="false">
      <c r="A797" s="2" t="s">
        <v>1849</v>
      </c>
      <c r="B797" s="2" t="s">
        <v>939</v>
      </c>
      <c r="C797" s="2" t="s">
        <v>220</v>
      </c>
      <c r="D797" s="2" t="s">
        <v>992</v>
      </c>
      <c r="E797" s="2" t="s">
        <v>484</v>
      </c>
      <c r="F797" s="2" t="n">
        <v>1</v>
      </c>
      <c r="G797" s="2" t="s">
        <v>1082</v>
      </c>
    </row>
    <row r="798" customFormat="false" ht="15" hidden="false" customHeight="false" outlineLevel="0" collapsed="false">
      <c r="A798" s="2" t="s">
        <v>1850</v>
      </c>
      <c r="B798" s="2" t="s">
        <v>939</v>
      </c>
      <c r="C798" s="2" t="s">
        <v>220</v>
      </c>
      <c r="D798" s="2" t="s">
        <v>992</v>
      </c>
      <c r="E798" s="2" t="s">
        <v>459</v>
      </c>
      <c r="F798" s="2" t="n">
        <v>1</v>
      </c>
      <c r="G798" s="2" t="s">
        <v>1082</v>
      </c>
    </row>
    <row r="799" customFormat="false" ht="15" hidden="false" customHeight="false" outlineLevel="0" collapsed="false">
      <c r="A799" s="2" t="s">
        <v>1851</v>
      </c>
      <c r="B799" s="2" t="s">
        <v>939</v>
      </c>
      <c r="C799" s="2" t="s">
        <v>220</v>
      </c>
      <c r="D799" s="2" t="s">
        <v>992</v>
      </c>
      <c r="E799" s="2" t="s">
        <v>490</v>
      </c>
      <c r="F799" s="2" t="n">
        <v>1</v>
      </c>
      <c r="G799" s="2" t="s">
        <v>1082</v>
      </c>
    </row>
    <row r="800" customFormat="false" ht="15" hidden="false" customHeight="false" outlineLevel="0" collapsed="false">
      <c r="A800" s="2" t="s">
        <v>1852</v>
      </c>
      <c r="B800" s="2" t="s">
        <v>942</v>
      </c>
      <c r="C800" s="2" t="s">
        <v>1085</v>
      </c>
      <c r="D800" s="2" t="s">
        <v>986</v>
      </c>
      <c r="E800" s="2" t="s">
        <v>311</v>
      </c>
      <c r="F800" s="2" t="n">
        <v>1</v>
      </c>
      <c r="G800" s="2" t="s">
        <v>1088</v>
      </c>
    </row>
    <row r="801" customFormat="false" ht="15" hidden="false" customHeight="false" outlineLevel="0" collapsed="false">
      <c r="A801" s="2" t="s">
        <v>1853</v>
      </c>
      <c r="B801" s="2" t="s">
        <v>942</v>
      </c>
      <c r="C801" s="2" t="s">
        <v>1085</v>
      </c>
      <c r="D801" s="2" t="s">
        <v>989</v>
      </c>
      <c r="E801" s="2" t="s">
        <v>262</v>
      </c>
      <c r="F801" s="2" t="n">
        <v>1</v>
      </c>
      <c r="G801" s="2" t="s">
        <v>1090</v>
      </c>
    </row>
    <row r="802" customFormat="false" ht="15" hidden="false" customHeight="false" outlineLevel="0" collapsed="false">
      <c r="A802" s="2" t="s">
        <v>1854</v>
      </c>
      <c r="B802" s="2" t="s">
        <v>942</v>
      </c>
      <c r="C802" s="2" t="s">
        <v>1085</v>
      </c>
      <c r="D802" s="2" t="s">
        <v>992</v>
      </c>
      <c r="E802" s="2" t="s">
        <v>472</v>
      </c>
      <c r="F802" s="2" t="n">
        <v>1</v>
      </c>
      <c r="G802" s="2" t="s">
        <v>1092</v>
      </c>
    </row>
    <row r="803" customFormat="false" ht="15" hidden="false" customHeight="false" outlineLevel="0" collapsed="false">
      <c r="A803" s="2" t="s">
        <v>1855</v>
      </c>
      <c r="B803" s="2" t="s">
        <v>942</v>
      </c>
      <c r="C803" s="2" t="s">
        <v>1085</v>
      </c>
      <c r="D803" s="2" t="s">
        <v>992</v>
      </c>
      <c r="E803" s="2" t="s">
        <v>335</v>
      </c>
      <c r="F803" s="2" t="n">
        <v>1</v>
      </c>
      <c r="G803" s="2" t="s">
        <v>1092</v>
      </c>
    </row>
    <row r="804" customFormat="false" ht="15" hidden="false" customHeight="false" outlineLevel="0" collapsed="false">
      <c r="A804" s="2" t="s">
        <v>1856</v>
      </c>
      <c r="B804" s="2" t="s">
        <v>942</v>
      </c>
      <c r="C804" s="2" t="s">
        <v>982</v>
      </c>
      <c r="D804" s="2" t="s">
        <v>983</v>
      </c>
      <c r="E804" s="2" t="s">
        <v>233</v>
      </c>
      <c r="F804" s="2" t="n">
        <v>1</v>
      </c>
      <c r="G804" s="2" t="s">
        <v>984</v>
      </c>
    </row>
    <row r="805" customFormat="false" ht="15" hidden="false" customHeight="false" outlineLevel="0" collapsed="false">
      <c r="A805" s="2" t="s">
        <v>1857</v>
      </c>
      <c r="B805" s="2" t="s">
        <v>942</v>
      </c>
      <c r="C805" s="2" t="s">
        <v>982</v>
      </c>
      <c r="D805" s="2" t="s">
        <v>986</v>
      </c>
      <c r="E805" s="2" t="s">
        <v>250</v>
      </c>
      <c r="F805" s="2" t="n">
        <v>1</v>
      </c>
      <c r="G805" s="2" t="s">
        <v>987</v>
      </c>
    </row>
    <row r="806" customFormat="false" ht="15" hidden="false" customHeight="false" outlineLevel="0" collapsed="false">
      <c r="A806" s="2" t="s">
        <v>1858</v>
      </c>
      <c r="B806" s="2" t="s">
        <v>942</v>
      </c>
      <c r="C806" s="2" t="s">
        <v>982</v>
      </c>
      <c r="D806" s="2" t="s">
        <v>989</v>
      </c>
      <c r="E806" s="2" t="s">
        <v>430</v>
      </c>
      <c r="F806" s="2" t="n">
        <v>1</v>
      </c>
      <c r="G806" s="2" t="s">
        <v>990</v>
      </c>
    </row>
    <row r="807" customFormat="false" ht="15" hidden="false" customHeight="false" outlineLevel="0" collapsed="false">
      <c r="A807" s="2" t="s">
        <v>1859</v>
      </c>
      <c r="B807" s="2" t="s">
        <v>942</v>
      </c>
      <c r="C807" s="2" t="s">
        <v>996</v>
      </c>
      <c r="D807" s="2" t="s">
        <v>983</v>
      </c>
      <c r="E807" s="2" t="s">
        <v>221</v>
      </c>
      <c r="F807" s="2" t="n">
        <v>1</v>
      </c>
      <c r="G807" s="2" t="s">
        <v>997</v>
      </c>
    </row>
    <row r="808" customFormat="false" ht="15" hidden="false" customHeight="false" outlineLevel="0" collapsed="false">
      <c r="A808" s="2" t="s">
        <v>1860</v>
      </c>
      <c r="B808" s="2" t="s">
        <v>942</v>
      </c>
      <c r="C808" s="2" t="s">
        <v>996</v>
      </c>
      <c r="D808" s="2" t="s">
        <v>986</v>
      </c>
      <c r="E808" s="2" t="s">
        <v>323</v>
      </c>
      <c r="F808" s="2" t="n">
        <v>1</v>
      </c>
      <c r="G808" s="2" t="s">
        <v>999</v>
      </c>
    </row>
    <row r="809" customFormat="false" ht="15" hidden="false" customHeight="false" outlineLevel="0" collapsed="false">
      <c r="A809" s="2" t="s">
        <v>1861</v>
      </c>
      <c r="B809" s="2" t="s">
        <v>942</v>
      </c>
      <c r="C809" s="2" t="s">
        <v>996</v>
      </c>
      <c r="D809" s="2" t="s">
        <v>989</v>
      </c>
      <c r="E809" s="2" t="s">
        <v>268</v>
      </c>
      <c r="F809" s="2" t="n">
        <v>1</v>
      </c>
      <c r="G809" s="2" t="s">
        <v>1001</v>
      </c>
    </row>
    <row r="810" customFormat="false" ht="15" hidden="false" customHeight="false" outlineLevel="0" collapsed="false">
      <c r="A810" s="2" t="s">
        <v>1862</v>
      </c>
      <c r="B810" s="2" t="s">
        <v>942</v>
      </c>
      <c r="C810" s="2" t="s">
        <v>996</v>
      </c>
      <c r="D810" s="2" t="s">
        <v>992</v>
      </c>
      <c r="E810" s="2" t="s">
        <v>477</v>
      </c>
      <c r="F810" s="2" t="n">
        <v>1</v>
      </c>
      <c r="G810" s="2" t="s">
        <v>1156</v>
      </c>
    </row>
    <row r="811" customFormat="false" ht="15" hidden="false" customHeight="false" outlineLevel="0" collapsed="false">
      <c r="A811" s="2" t="s">
        <v>1863</v>
      </c>
      <c r="B811" s="2" t="s">
        <v>942</v>
      </c>
      <c r="C811" s="2" t="s">
        <v>996</v>
      </c>
      <c r="D811" s="2" t="s">
        <v>992</v>
      </c>
      <c r="E811" s="2" t="s">
        <v>484</v>
      </c>
      <c r="F811" s="2" t="n">
        <v>1</v>
      </c>
      <c r="G811" s="2" t="s">
        <v>1156</v>
      </c>
    </row>
    <row r="812" customFormat="false" ht="15" hidden="false" customHeight="false" outlineLevel="0" collapsed="false">
      <c r="A812" s="2" t="s">
        <v>1864</v>
      </c>
      <c r="B812" s="2" t="s">
        <v>942</v>
      </c>
      <c r="C812" s="2" t="s">
        <v>1010</v>
      </c>
      <c r="D812" s="2" t="s">
        <v>983</v>
      </c>
      <c r="E812" s="2" t="s">
        <v>245</v>
      </c>
      <c r="F812" s="2" t="n">
        <v>1</v>
      </c>
      <c r="G812" s="2" t="s">
        <v>1011</v>
      </c>
    </row>
    <row r="813" customFormat="false" ht="15" hidden="false" customHeight="false" outlineLevel="0" collapsed="false">
      <c r="A813" s="2" t="s">
        <v>1865</v>
      </c>
      <c r="B813" s="2" t="s">
        <v>942</v>
      </c>
      <c r="C813" s="2" t="s">
        <v>1010</v>
      </c>
      <c r="D813" s="2" t="s">
        <v>986</v>
      </c>
      <c r="E813" s="2" t="s">
        <v>363</v>
      </c>
      <c r="F813" s="2" t="n">
        <v>1</v>
      </c>
      <c r="G813" s="2" t="s">
        <v>1013</v>
      </c>
    </row>
    <row r="814" customFormat="false" ht="15" hidden="false" customHeight="false" outlineLevel="0" collapsed="false">
      <c r="A814" s="2" t="s">
        <v>1866</v>
      </c>
      <c r="B814" s="2" t="s">
        <v>942</v>
      </c>
      <c r="C814" s="2" t="s">
        <v>1010</v>
      </c>
      <c r="D814" s="2" t="s">
        <v>989</v>
      </c>
      <c r="E814" s="2" t="s">
        <v>335</v>
      </c>
      <c r="F814" s="2" t="n">
        <v>1</v>
      </c>
      <c r="G814" s="2" t="s">
        <v>1015</v>
      </c>
    </row>
    <row r="815" customFormat="false" ht="15" hidden="false" customHeight="false" outlineLevel="0" collapsed="false">
      <c r="A815" s="2" t="s">
        <v>1867</v>
      </c>
      <c r="B815" s="2" t="s">
        <v>942</v>
      </c>
      <c r="C815" s="2" t="s">
        <v>1010</v>
      </c>
      <c r="D815" s="2" t="s">
        <v>992</v>
      </c>
      <c r="E815" s="2" t="s">
        <v>459</v>
      </c>
      <c r="F815" s="2" t="n">
        <v>1</v>
      </c>
      <c r="G815" s="2" t="s">
        <v>1017</v>
      </c>
    </row>
    <row r="816" customFormat="false" ht="15" hidden="false" customHeight="false" outlineLevel="0" collapsed="false">
      <c r="A816" s="2" t="s">
        <v>1868</v>
      </c>
      <c r="B816" s="2" t="s">
        <v>942</v>
      </c>
      <c r="C816" s="2" t="s">
        <v>1019</v>
      </c>
      <c r="D816" s="2" t="s">
        <v>986</v>
      </c>
      <c r="E816" s="2" t="s">
        <v>233</v>
      </c>
      <c r="F816" s="2" t="n">
        <v>1</v>
      </c>
      <c r="G816" s="2" t="s">
        <v>1020</v>
      </c>
    </row>
    <row r="817" customFormat="false" ht="15" hidden="false" customHeight="false" outlineLevel="0" collapsed="false">
      <c r="A817" s="2" t="s">
        <v>1869</v>
      </c>
      <c r="B817" s="2" t="s">
        <v>942</v>
      </c>
      <c r="C817" s="2" t="s">
        <v>1019</v>
      </c>
      <c r="D817" s="2" t="s">
        <v>989</v>
      </c>
      <c r="E817" s="2" t="s">
        <v>418</v>
      </c>
      <c r="F817" s="2" t="n">
        <v>1</v>
      </c>
      <c r="G817" s="2" t="s">
        <v>1022</v>
      </c>
    </row>
    <row r="818" customFormat="false" ht="15" hidden="false" customHeight="false" outlineLevel="0" collapsed="false">
      <c r="A818" s="2" t="s">
        <v>1870</v>
      </c>
      <c r="B818" s="2" t="s">
        <v>942</v>
      </c>
      <c r="C818" s="2" t="s">
        <v>1019</v>
      </c>
      <c r="D818" s="2" t="s">
        <v>992</v>
      </c>
      <c r="E818" s="2" t="s">
        <v>484</v>
      </c>
      <c r="F818" s="2" t="n">
        <v>1</v>
      </c>
      <c r="G818" s="2" t="s">
        <v>1024</v>
      </c>
    </row>
    <row r="819" customFormat="false" ht="15" hidden="false" customHeight="false" outlineLevel="0" collapsed="false">
      <c r="A819" s="2" t="s">
        <v>1871</v>
      </c>
      <c r="B819" s="2" t="s">
        <v>942</v>
      </c>
      <c r="C819" s="2" t="s">
        <v>1026</v>
      </c>
      <c r="D819" s="2" t="s">
        <v>983</v>
      </c>
      <c r="E819" s="2" t="s">
        <v>304</v>
      </c>
      <c r="F819" s="2" t="n">
        <v>1</v>
      </c>
      <c r="G819" s="2" t="s">
        <v>1027</v>
      </c>
    </row>
    <row r="820" customFormat="false" ht="15" hidden="false" customHeight="false" outlineLevel="0" collapsed="false">
      <c r="A820" s="2" t="s">
        <v>1872</v>
      </c>
      <c r="B820" s="2" t="s">
        <v>942</v>
      </c>
      <c r="C820" s="2" t="s">
        <v>1026</v>
      </c>
      <c r="D820" s="2" t="s">
        <v>986</v>
      </c>
      <c r="E820" s="2" t="s">
        <v>233</v>
      </c>
      <c r="F820" s="2" t="n">
        <v>1</v>
      </c>
      <c r="G820" s="2" t="s">
        <v>1029</v>
      </c>
    </row>
    <row r="821" customFormat="false" ht="15" hidden="false" customHeight="false" outlineLevel="0" collapsed="false">
      <c r="A821" s="2" t="s">
        <v>1873</v>
      </c>
      <c r="B821" s="2" t="s">
        <v>942</v>
      </c>
      <c r="C821" s="2" t="s">
        <v>1026</v>
      </c>
      <c r="D821" s="2" t="s">
        <v>989</v>
      </c>
      <c r="E821" s="2" t="s">
        <v>392</v>
      </c>
      <c r="F821" s="2" t="n">
        <v>1</v>
      </c>
      <c r="G821" s="2" t="s">
        <v>1031</v>
      </c>
    </row>
    <row r="822" customFormat="false" ht="15" hidden="false" customHeight="false" outlineLevel="0" collapsed="false">
      <c r="A822" s="2" t="s">
        <v>1874</v>
      </c>
      <c r="B822" s="2" t="s">
        <v>942</v>
      </c>
      <c r="C822" s="2" t="s">
        <v>1026</v>
      </c>
      <c r="D822" s="2" t="s">
        <v>992</v>
      </c>
      <c r="E822" s="2" t="s">
        <v>369</v>
      </c>
      <c r="F822" s="2" t="n">
        <v>1</v>
      </c>
      <c r="G822" s="2" t="s">
        <v>1114</v>
      </c>
    </row>
    <row r="823" customFormat="false" ht="15" hidden="false" customHeight="false" outlineLevel="0" collapsed="false">
      <c r="A823" s="2" t="s">
        <v>1875</v>
      </c>
      <c r="B823" s="2" t="s">
        <v>942</v>
      </c>
      <c r="C823" s="2" t="s">
        <v>1026</v>
      </c>
      <c r="D823" s="2" t="s">
        <v>992</v>
      </c>
      <c r="E823" s="2" t="s">
        <v>459</v>
      </c>
      <c r="F823" s="2" t="n">
        <v>1</v>
      </c>
      <c r="G823" s="2" t="s">
        <v>1114</v>
      </c>
    </row>
    <row r="824" customFormat="false" ht="15" hidden="false" customHeight="false" outlineLevel="0" collapsed="false">
      <c r="A824" s="2" t="s">
        <v>1876</v>
      </c>
      <c r="B824" s="2" t="s">
        <v>942</v>
      </c>
      <c r="C824" s="2" t="s">
        <v>1033</v>
      </c>
      <c r="D824" s="2" t="s">
        <v>983</v>
      </c>
      <c r="E824" s="2" t="s">
        <v>369</v>
      </c>
      <c r="F824" s="2" t="n">
        <v>1</v>
      </c>
      <c r="G824" s="2" t="s">
        <v>1034</v>
      </c>
    </row>
    <row r="825" customFormat="false" ht="15" hidden="false" customHeight="false" outlineLevel="0" collapsed="false">
      <c r="A825" s="2" t="s">
        <v>1877</v>
      </c>
      <c r="B825" s="2" t="s">
        <v>942</v>
      </c>
      <c r="C825" s="2" t="s">
        <v>1033</v>
      </c>
      <c r="D825" s="2" t="s">
        <v>986</v>
      </c>
      <c r="E825" s="2" t="s">
        <v>399</v>
      </c>
      <c r="F825" s="2" t="n">
        <v>1</v>
      </c>
      <c r="G825" s="2" t="s">
        <v>1036</v>
      </c>
    </row>
    <row r="826" customFormat="false" ht="15" hidden="false" customHeight="false" outlineLevel="0" collapsed="false">
      <c r="A826" s="2" t="s">
        <v>1878</v>
      </c>
      <c r="B826" s="2" t="s">
        <v>942</v>
      </c>
      <c r="C826" s="2" t="s">
        <v>1033</v>
      </c>
      <c r="D826" s="2" t="s">
        <v>989</v>
      </c>
      <c r="E826" s="2" t="s">
        <v>233</v>
      </c>
      <c r="F826" s="2" t="n">
        <v>1</v>
      </c>
      <c r="G826" s="2" t="s">
        <v>1038</v>
      </c>
    </row>
    <row r="827" customFormat="false" ht="15" hidden="false" customHeight="false" outlineLevel="0" collapsed="false">
      <c r="A827" s="2" t="s">
        <v>1879</v>
      </c>
      <c r="B827" s="2" t="s">
        <v>942</v>
      </c>
      <c r="C827" s="2" t="s">
        <v>1033</v>
      </c>
      <c r="D827" s="2" t="s">
        <v>992</v>
      </c>
      <c r="E827" s="2" t="s">
        <v>459</v>
      </c>
      <c r="F827" s="2" t="n">
        <v>1</v>
      </c>
      <c r="G827" s="2" t="s">
        <v>1040</v>
      </c>
    </row>
    <row r="828" customFormat="false" ht="15" hidden="false" customHeight="false" outlineLevel="0" collapsed="false">
      <c r="A828" s="2" t="s">
        <v>1880</v>
      </c>
      <c r="B828" s="2" t="s">
        <v>942</v>
      </c>
      <c r="C828" s="2" t="s">
        <v>1043</v>
      </c>
      <c r="D828" s="2" t="s">
        <v>983</v>
      </c>
      <c r="E828" s="2" t="s">
        <v>239</v>
      </c>
      <c r="F828" s="2" t="n">
        <v>1</v>
      </c>
      <c r="G828" s="2" t="s">
        <v>1044</v>
      </c>
    </row>
    <row r="829" customFormat="false" ht="15" hidden="false" customHeight="false" outlineLevel="0" collapsed="false">
      <c r="A829" s="2" t="s">
        <v>1881</v>
      </c>
      <c r="B829" s="2" t="s">
        <v>942</v>
      </c>
      <c r="C829" s="2" t="s">
        <v>1043</v>
      </c>
      <c r="D829" s="2" t="s">
        <v>986</v>
      </c>
      <c r="E829" s="2" t="s">
        <v>311</v>
      </c>
      <c r="F829" s="2" t="n">
        <v>1</v>
      </c>
      <c r="G829" s="2" t="s">
        <v>1046</v>
      </c>
    </row>
    <row r="830" customFormat="false" ht="15" hidden="false" customHeight="false" outlineLevel="0" collapsed="false">
      <c r="A830" s="2" t="s">
        <v>1882</v>
      </c>
      <c r="B830" s="2" t="s">
        <v>942</v>
      </c>
      <c r="C830" s="2" t="s">
        <v>1043</v>
      </c>
      <c r="D830" s="2" t="s">
        <v>989</v>
      </c>
      <c r="E830" s="2" t="s">
        <v>424</v>
      </c>
      <c r="F830" s="2" t="n">
        <v>1</v>
      </c>
      <c r="G830" s="2" t="s">
        <v>1048</v>
      </c>
    </row>
    <row r="831" customFormat="false" ht="15" hidden="false" customHeight="false" outlineLevel="0" collapsed="false">
      <c r="A831" s="2" t="s">
        <v>1883</v>
      </c>
      <c r="B831" s="2" t="s">
        <v>942</v>
      </c>
      <c r="C831" s="2" t="s">
        <v>1128</v>
      </c>
      <c r="D831" s="2" t="s">
        <v>983</v>
      </c>
      <c r="E831" s="2" t="s">
        <v>341</v>
      </c>
      <c r="F831" s="2" t="n">
        <v>1</v>
      </c>
      <c r="G831" s="2" t="s">
        <v>1129</v>
      </c>
    </row>
    <row r="832" customFormat="false" ht="15" hidden="false" customHeight="false" outlineLevel="0" collapsed="false">
      <c r="A832" s="2" t="s">
        <v>1884</v>
      </c>
      <c r="B832" s="2" t="s">
        <v>942</v>
      </c>
      <c r="C832" s="2" t="s">
        <v>1128</v>
      </c>
      <c r="D832" s="2" t="s">
        <v>986</v>
      </c>
      <c r="E832" s="2" t="s">
        <v>311</v>
      </c>
      <c r="F832" s="2" t="n">
        <v>1</v>
      </c>
      <c r="G832" s="2" t="s">
        <v>1131</v>
      </c>
    </row>
    <row r="833" customFormat="false" ht="15" hidden="false" customHeight="false" outlineLevel="0" collapsed="false">
      <c r="A833" s="2" t="s">
        <v>1885</v>
      </c>
      <c r="B833" s="2" t="s">
        <v>942</v>
      </c>
      <c r="C833" s="2" t="s">
        <v>1128</v>
      </c>
      <c r="D833" s="2" t="s">
        <v>989</v>
      </c>
      <c r="E833" s="2" t="s">
        <v>239</v>
      </c>
      <c r="F833" s="2" t="n">
        <v>1</v>
      </c>
      <c r="G833" s="2" t="s">
        <v>1133</v>
      </c>
    </row>
    <row r="834" customFormat="false" ht="15" hidden="false" customHeight="false" outlineLevel="0" collapsed="false">
      <c r="A834" s="2" t="s">
        <v>1886</v>
      </c>
      <c r="B834" s="2" t="s">
        <v>942</v>
      </c>
      <c r="C834" s="2" t="s">
        <v>1128</v>
      </c>
      <c r="D834" s="2" t="s">
        <v>992</v>
      </c>
      <c r="E834" s="2" t="s">
        <v>466</v>
      </c>
      <c r="F834" s="2" t="n">
        <v>1</v>
      </c>
      <c r="G834" s="2" t="s">
        <v>1135</v>
      </c>
    </row>
    <row r="835" customFormat="false" ht="15" hidden="false" customHeight="false" outlineLevel="0" collapsed="false">
      <c r="A835" s="2" t="s">
        <v>1887</v>
      </c>
      <c r="B835" s="2" t="s">
        <v>942</v>
      </c>
      <c r="C835" s="2" t="s">
        <v>1061</v>
      </c>
      <c r="D835" s="2" t="s">
        <v>983</v>
      </c>
      <c r="E835" s="2" t="s">
        <v>304</v>
      </c>
      <c r="F835" s="2" t="n">
        <v>1</v>
      </c>
      <c r="G835" s="2" t="s">
        <v>1062</v>
      </c>
    </row>
    <row r="836" customFormat="false" ht="15" hidden="false" customHeight="false" outlineLevel="0" collapsed="false">
      <c r="A836" s="2" t="s">
        <v>1888</v>
      </c>
      <c r="B836" s="2" t="s">
        <v>942</v>
      </c>
      <c r="C836" s="2" t="s">
        <v>1061</v>
      </c>
      <c r="D836" s="2" t="s">
        <v>986</v>
      </c>
      <c r="E836" s="2" t="s">
        <v>274</v>
      </c>
      <c r="F836" s="2" t="n">
        <v>1</v>
      </c>
      <c r="G836" s="2" t="s">
        <v>1064</v>
      </c>
    </row>
    <row r="837" customFormat="false" ht="15" hidden="false" customHeight="false" outlineLevel="0" collapsed="false">
      <c r="A837" s="2" t="s">
        <v>1889</v>
      </c>
      <c r="B837" s="2" t="s">
        <v>942</v>
      </c>
      <c r="C837" s="2" t="s">
        <v>1061</v>
      </c>
      <c r="D837" s="2" t="s">
        <v>989</v>
      </c>
      <c r="E837" s="2" t="s">
        <v>418</v>
      </c>
      <c r="F837" s="2" t="n">
        <v>1</v>
      </c>
      <c r="G837" s="2" t="s">
        <v>1066</v>
      </c>
    </row>
    <row r="838" customFormat="false" ht="15" hidden="false" customHeight="false" outlineLevel="0" collapsed="false">
      <c r="A838" s="2" t="s">
        <v>1890</v>
      </c>
      <c r="B838" s="2" t="s">
        <v>942</v>
      </c>
      <c r="C838" s="2" t="s">
        <v>1071</v>
      </c>
      <c r="D838" s="2" t="s">
        <v>986</v>
      </c>
      <c r="E838" s="2" t="s">
        <v>256</v>
      </c>
      <c r="F838" s="2" t="n">
        <v>1</v>
      </c>
      <c r="G838" s="2" t="s">
        <v>1072</v>
      </c>
    </row>
    <row r="839" customFormat="false" ht="15" hidden="false" customHeight="false" outlineLevel="0" collapsed="false">
      <c r="A839" s="2" t="s">
        <v>1891</v>
      </c>
      <c r="B839" s="2" t="s">
        <v>942</v>
      </c>
      <c r="C839" s="2" t="s">
        <v>1071</v>
      </c>
      <c r="D839" s="2" t="s">
        <v>989</v>
      </c>
      <c r="E839" s="2" t="s">
        <v>233</v>
      </c>
      <c r="F839" s="2" t="n">
        <v>1</v>
      </c>
      <c r="G839" s="2" t="s">
        <v>1074</v>
      </c>
    </row>
    <row r="840" customFormat="false" ht="15" hidden="false" customHeight="false" outlineLevel="0" collapsed="false">
      <c r="A840" s="2" t="s">
        <v>1892</v>
      </c>
      <c r="B840" s="2" t="s">
        <v>942</v>
      </c>
      <c r="C840" s="2" t="s">
        <v>1071</v>
      </c>
      <c r="D840" s="2" t="s">
        <v>992</v>
      </c>
      <c r="E840" s="2" t="s">
        <v>496</v>
      </c>
      <c r="F840" s="2" t="n">
        <v>1</v>
      </c>
      <c r="G840" s="2" t="s">
        <v>1141</v>
      </c>
    </row>
    <row r="841" customFormat="false" ht="15" hidden="false" customHeight="false" outlineLevel="0" collapsed="false">
      <c r="A841" s="2" t="s">
        <v>1893</v>
      </c>
      <c r="B841" s="2" t="s">
        <v>942</v>
      </c>
      <c r="C841" s="2" t="s">
        <v>1071</v>
      </c>
      <c r="D841" s="2" t="s">
        <v>992</v>
      </c>
      <c r="E841" s="2" t="s">
        <v>459</v>
      </c>
      <c r="F841" s="2" t="n">
        <v>1</v>
      </c>
      <c r="G841" s="2" t="s">
        <v>1141</v>
      </c>
    </row>
    <row r="842" customFormat="false" ht="15" hidden="false" customHeight="false" outlineLevel="0" collapsed="false">
      <c r="A842" s="2" t="s">
        <v>1894</v>
      </c>
      <c r="B842" s="2" t="s">
        <v>942</v>
      </c>
      <c r="C842" s="2" t="s">
        <v>1071</v>
      </c>
      <c r="D842" s="2" t="s">
        <v>992</v>
      </c>
      <c r="E842" s="2" t="s">
        <v>459</v>
      </c>
      <c r="F842" s="2" t="n">
        <v>1</v>
      </c>
      <c r="G842" s="2" t="s">
        <v>1141</v>
      </c>
    </row>
    <row r="843" customFormat="false" ht="15" hidden="false" customHeight="false" outlineLevel="0" collapsed="false">
      <c r="A843" s="2" t="s">
        <v>1895</v>
      </c>
      <c r="B843" s="2" t="s">
        <v>942</v>
      </c>
      <c r="C843" s="2" t="s">
        <v>220</v>
      </c>
      <c r="D843" s="2" t="s">
        <v>983</v>
      </c>
      <c r="E843" s="2" t="s">
        <v>335</v>
      </c>
      <c r="F843" s="2" t="n">
        <v>1</v>
      </c>
      <c r="G843" s="2" t="s">
        <v>1076</v>
      </c>
    </row>
    <row r="844" customFormat="false" ht="15" hidden="false" customHeight="false" outlineLevel="0" collapsed="false">
      <c r="A844" s="2" t="s">
        <v>1896</v>
      </c>
      <c r="B844" s="2" t="s">
        <v>942</v>
      </c>
      <c r="C844" s="2" t="s">
        <v>220</v>
      </c>
      <c r="D844" s="2" t="s">
        <v>986</v>
      </c>
      <c r="E844" s="2" t="s">
        <v>304</v>
      </c>
      <c r="F844" s="2" t="n">
        <v>1</v>
      </c>
      <c r="G844" s="2" t="s">
        <v>1078</v>
      </c>
    </row>
    <row r="845" customFormat="false" ht="15" hidden="false" customHeight="false" outlineLevel="0" collapsed="false">
      <c r="A845" s="2" t="s">
        <v>1897</v>
      </c>
      <c r="B845" s="2" t="s">
        <v>942</v>
      </c>
      <c r="C845" s="2" t="s">
        <v>220</v>
      </c>
      <c r="D845" s="2" t="s">
        <v>989</v>
      </c>
      <c r="E845" s="2" t="s">
        <v>335</v>
      </c>
      <c r="F845" s="2" t="n">
        <v>1</v>
      </c>
      <c r="G845" s="2" t="s">
        <v>1080</v>
      </c>
    </row>
    <row r="846" customFormat="false" ht="15" hidden="false" customHeight="false" outlineLevel="0" collapsed="false">
      <c r="A846" s="2" t="s">
        <v>1898</v>
      </c>
      <c r="B846" s="2" t="s">
        <v>942</v>
      </c>
      <c r="C846" s="2" t="s">
        <v>220</v>
      </c>
      <c r="D846" s="2" t="s">
        <v>992</v>
      </c>
      <c r="E846" s="2" t="s">
        <v>459</v>
      </c>
      <c r="F846" s="2" t="n">
        <v>1</v>
      </c>
      <c r="G846" s="2" t="s">
        <v>1082</v>
      </c>
    </row>
    <row r="847" customFormat="false" ht="15" hidden="false" customHeight="false" outlineLevel="0" collapsed="false">
      <c r="A847" s="2" t="s">
        <v>1899</v>
      </c>
      <c r="B847" s="2" t="s">
        <v>945</v>
      </c>
      <c r="C847" s="2" t="s">
        <v>1085</v>
      </c>
      <c r="D847" s="2" t="s">
        <v>983</v>
      </c>
      <c r="E847" s="2" t="s">
        <v>250</v>
      </c>
      <c r="F847" s="2" t="n">
        <v>1</v>
      </c>
      <c r="G847" s="2" t="s">
        <v>1086</v>
      </c>
    </row>
    <row r="848" customFormat="false" ht="15" hidden="false" customHeight="false" outlineLevel="0" collapsed="false">
      <c r="A848" s="2" t="s">
        <v>1900</v>
      </c>
      <c r="B848" s="2" t="s">
        <v>945</v>
      </c>
      <c r="C848" s="2" t="s">
        <v>1085</v>
      </c>
      <c r="D848" s="2" t="s">
        <v>986</v>
      </c>
      <c r="E848" s="2" t="s">
        <v>227</v>
      </c>
      <c r="F848" s="2" t="n">
        <v>1</v>
      </c>
      <c r="G848" s="2" t="s">
        <v>1088</v>
      </c>
    </row>
    <row r="849" customFormat="false" ht="15" hidden="false" customHeight="false" outlineLevel="0" collapsed="false">
      <c r="A849" s="2" t="s">
        <v>1901</v>
      </c>
      <c r="B849" s="2" t="s">
        <v>945</v>
      </c>
      <c r="C849" s="2" t="s">
        <v>1085</v>
      </c>
      <c r="D849" s="2" t="s">
        <v>989</v>
      </c>
      <c r="E849" s="2" t="s">
        <v>380</v>
      </c>
      <c r="F849" s="2" t="n">
        <v>1</v>
      </c>
      <c r="G849" s="2" t="s">
        <v>1090</v>
      </c>
    </row>
    <row r="850" customFormat="false" ht="15" hidden="false" customHeight="false" outlineLevel="0" collapsed="false">
      <c r="A850" s="2" t="s">
        <v>1902</v>
      </c>
      <c r="B850" s="2" t="s">
        <v>945</v>
      </c>
      <c r="C850" s="2" t="s">
        <v>1085</v>
      </c>
      <c r="D850" s="2" t="s">
        <v>992</v>
      </c>
      <c r="E850" s="2" t="s">
        <v>459</v>
      </c>
      <c r="F850" s="2" t="n">
        <v>1</v>
      </c>
      <c r="G850" s="2" t="s">
        <v>1092</v>
      </c>
    </row>
    <row r="851" customFormat="false" ht="15" hidden="false" customHeight="false" outlineLevel="0" collapsed="false">
      <c r="A851" s="2" t="s">
        <v>1903</v>
      </c>
      <c r="B851" s="2" t="s">
        <v>945</v>
      </c>
      <c r="C851" s="2" t="s">
        <v>982</v>
      </c>
      <c r="D851" s="2" t="s">
        <v>986</v>
      </c>
      <c r="E851" s="2" t="s">
        <v>347</v>
      </c>
      <c r="F851" s="2" t="n">
        <v>1</v>
      </c>
      <c r="G851" s="2" t="s">
        <v>987</v>
      </c>
    </row>
    <row r="852" customFormat="false" ht="15" hidden="false" customHeight="false" outlineLevel="0" collapsed="false">
      <c r="A852" s="2" t="s">
        <v>1904</v>
      </c>
      <c r="B852" s="2" t="s">
        <v>945</v>
      </c>
      <c r="C852" s="2" t="s">
        <v>982</v>
      </c>
      <c r="D852" s="2" t="s">
        <v>989</v>
      </c>
      <c r="E852" s="2" t="s">
        <v>274</v>
      </c>
      <c r="F852" s="2" t="n">
        <v>1</v>
      </c>
      <c r="G852" s="2" t="s">
        <v>990</v>
      </c>
    </row>
    <row r="853" customFormat="false" ht="15" hidden="false" customHeight="false" outlineLevel="0" collapsed="false">
      <c r="A853" s="2" t="s">
        <v>1905</v>
      </c>
      <c r="B853" s="2" t="s">
        <v>945</v>
      </c>
      <c r="C853" s="2" t="s">
        <v>982</v>
      </c>
      <c r="D853" s="2" t="s">
        <v>992</v>
      </c>
      <c r="E853" s="2" t="s">
        <v>466</v>
      </c>
      <c r="F853" s="2" t="n">
        <v>1</v>
      </c>
      <c r="G853" s="2" t="s">
        <v>993</v>
      </c>
    </row>
    <row r="854" customFormat="false" ht="15" hidden="false" customHeight="false" outlineLevel="0" collapsed="false">
      <c r="A854" s="2" t="s">
        <v>1906</v>
      </c>
      <c r="B854" s="2" t="s">
        <v>945</v>
      </c>
      <c r="C854" s="2" t="s">
        <v>982</v>
      </c>
      <c r="D854" s="2" t="s">
        <v>992</v>
      </c>
      <c r="E854" s="2" t="s">
        <v>496</v>
      </c>
      <c r="F854" s="2" t="n">
        <v>1</v>
      </c>
      <c r="G854" s="2" t="s">
        <v>993</v>
      </c>
    </row>
    <row r="855" customFormat="false" ht="15" hidden="false" customHeight="false" outlineLevel="0" collapsed="false">
      <c r="A855" s="2" t="s">
        <v>1907</v>
      </c>
      <c r="B855" s="2" t="s">
        <v>945</v>
      </c>
      <c r="C855" s="2" t="s">
        <v>996</v>
      </c>
      <c r="D855" s="2" t="s">
        <v>983</v>
      </c>
      <c r="E855" s="2" t="s">
        <v>484</v>
      </c>
      <c r="F855" s="2" t="n">
        <v>1</v>
      </c>
      <c r="G855" s="2" t="s">
        <v>997</v>
      </c>
    </row>
    <row r="856" customFormat="false" ht="15" hidden="false" customHeight="false" outlineLevel="0" collapsed="false">
      <c r="A856" s="2" t="s">
        <v>1908</v>
      </c>
      <c r="B856" s="2" t="s">
        <v>945</v>
      </c>
      <c r="C856" s="2" t="s">
        <v>996</v>
      </c>
      <c r="D856" s="2" t="s">
        <v>986</v>
      </c>
      <c r="E856" s="2" t="s">
        <v>392</v>
      </c>
      <c r="F856" s="2" t="n">
        <v>1</v>
      </c>
      <c r="G856" s="2" t="s">
        <v>999</v>
      </c>
    </row>
    <row r="857" customFormat="false" ht="15" hidden="false" customHeight="false" outlineLevel="0" collapsed="false">
      <c r="A857" s="2" t="s">
        <v>1909</v>
      </c>
      <c r="B857" s="2" t="s">
        <v>945</v>
      </c>
      <c r="C857" s="2" t="s">
        <v>996</v>
      </c>
      <c r="D857" s="2" t="s">
        <v>989</v>
      </c>
      <c r="E857" s="2" t="s">
        <v>399</v>
      </c>
      <c r="F857" s="2" t="n">
        <v>1</v>
      </c>
      <c r="G857" s="2" t="s">
        <v>1001</v>
      </c>
    </row>
    <row r="858" customFormat="false" ht="15" hidden="false" customHeight="false" outlineLevel="0" collapsed="false">
      <c r="A858" s="2" t="s">
        <v>1910</v>
      </c>
      <c r="B858" s="2" t="s">
        <v>945</v>
      </c>
      <c r="C858" s="2" t="s">
        <v>996</v>
      </c>
      <c r="D858" s="2" t="s">
        <v>992</v>
      </c>
      <c r="E858" s="2" t="s">
        <v>459</v>
      </c>
      <c r="F858" s="2" t="n">
        <v>1</v>
      </c>
      <c r="G858" s="2" t="s">
        <v>1156</v>
      </c>
    </row>
    <row r="859" customFormat="false" ht="15" hidden="false" customHeight="false" outlineLevel="0" collapsed="false">
      <c r="A859" s="2" t="s">
        <v>1911</v>
      </c>
      <c r="B859" s="2" t="s">
        <v>945</v>
      </c>
      <c r="C859" s="2" t="s">
        <v>1003</v>
      </c>
      <c r="D859" s="2" t="s">
        <v>983</v>
      </c>
      <c r="E859" s="2" t="s">
        <v>298</v>
      </c>
      <c r="F859" s="2" t="n">
        <v>1</v>
      </c>
      <c r="G859" s="2" t="s">
        <v>1004</v>
      </c>
    </row>
    <row r="860" customFormat="false" ht="15" hidden="false" customHeight="false" outlineLevel="0" collapsed="false">
      <c r="A860" s="2" t="s">
        <v>1912</v>
      </c>
      <c r="B860" s="2" t="s">
        <v>945</v>
      </c>
      <c r="C860" s="2" t="s">
        <v>1003</v>
      </c>
      <c r="D860" s="2" t="s">
        <v>986</v>
      </c>
      <c r="E860" s="2" t="s">
        <v>329</v>
      </c>
      <c r="F860" s="2" t="n">
        <v>1</v>
      </c>
      <c r="G860" s="2" t="s">
        <v>1006</v>
      </c>
    </row>
    <row r="861" customFormat="false" ht="15" hidden="false" customHeight="false" outlineLevel="0" collapsed="false">
      <c r="A861" s="2" t="s">
        <v>1913</v>
      </c>
      <c r="B861" s="2" t="s">
        <v>945</v>
      </c>
      <c r="C861" s="2" t="s">
        <v>1003</v>
      </c>
      <c r="D861" s="2" t="s">
        <v>989</v>
      </c>
      <c r="E861" s="2" t="s">
        <v>380</v>
      </c>
      <c r="F861" s="2" t="n">
        <v>1</v>
      </c>
      <c r="G861" s="2" t="s">
        <v>1008</v>
      </c>
    </row>
    <row r="862" customFormat="false" ht="15" hidden="false" customHeight="false" outlineLevel="0" collapsed="false">
      <c r="A862" s="2" t="s">
        <v>1914</v>
      </c>
      <c r="B862" s="2" t="s">
        <v>945</v>
      </c>
      <c r="C862" s="2" t="s">
        <v>1003</v>
      </c>
      <c r="D862" s="2" t="s">
        <v>992</v>
      </c>
      <c r="E862" s="2" t="s">
        <v>459</v>
      </c>
      <c r="F862" s="2" t="n">
        <v>1</v>
      </c>
      <c r="G862" s="2" t="s">
        <v>1103</v>
      </c>
    </row>
    <row r="863" customFormat="false" ht="15" hidden="false" customHeight="false" outlineLevel="0" collapsed="false">
      <c r="A863" s="2" t="s">
        <v>1915</v>
      </c>
      <c r="B863" s="2" t="s">
        <v>945</v>
      </c>
      <c r="C863" s="2" t="s">
        <v>1003</v>
      </c>
      <c r="D863" s="2" t="s">
        <v>992</v>
      </c>
      <c r="E863" s="2" t="s">
        <v>466</v>
      </c>
      <c r="F863" s="2" t="n">
        <v>1</v>
      </c>
      <c r="G863" s="2" t="s">
        <v>1103</v>
      </c>
    </row>
    <row r="864" customFormat="false" ht="15" hidden="false" customHeight="false" outlineLevel="0" collapsed="false">
      <c r="A864" s="2" t="s">
        <v>1916</v>
      </c>
      <c r="B864" s="2" t="s">
        <v>945</v>
      </c>
      <c r="C864" s="2" t="s">
        <v>1010</v>
      </c>
      <c r="D864" s="2" t="s">
        <v>983</v>
      </c>
      <c r="E864" s="2" t="s">
        <v>274</v>
      </c>
      <c r="F864" s="2" t="n">
        <v>1</v>
      </c>
      <c r="G864" s="2" t="s">
        <v>1011</v>
      </c>
    </row>
    <row r="865" customFormat="false" ht="15" hidden="false" customHeight="false" outlineLevel="0" collapsed="false">
      <c r="A865" s="2" t="s">
        <v>1917</v>
      </c>
      <c r="B865" s="2" t="s">
        <v>945</v>
      </c>
      <c r="C865" s="2" t="s">
        <v>1010</v>
      </c>
      <c r="D865" s="2" t="s">
        <v>986</v>
      </c>
      <c r="E865" s="2" t="s">
        <v>392</v>
      </c>
      <c r="F865" s="2" t="n">
        <v>1</v>
      </c>
      <c r="G865" s="2" t="s">
        <v>1013</v>
      </c>
    </row>
    <row r="866" customFormat="false" ht="15" hidden="false" customHeight="false" outlineLevel="0" collapsed="false">
      <c r="A866" s="2" t="s">
        <v>1918</v>
      </c>
      <c r="B866" s="2" t="s">
        <v>945</v>
      </c>
      <c r="C866" s="2" t="s">
        <v>1010</v>
      </c>
      <c r="D866" s="2" t="s">
        <v>989</v>
      </c>
      <c r="E866" s="2" t="s">
        <v>211</v>
      </c>
      <c r="F866" s="2" t="n">
        <v>1</v>
      </c>
      <c r="G866" s="2" t="s">
        <v>1015</v>
      </c>
    </row>
    <row r="867" customFormat="false" ht="15" hidden="false" customHeight="false" outlineLevel="0" collapsed="false">
      <c r="A867" s="2" t="s">
        <v>1919</v>
      </c>
      <c r="B867" s="2" t="s">
        <v>945</v>
      </c>
      <c r="C867" s="2" t="s">
        <v>1010</v>
      </c>
      <c r="D867" s="2" t="s">
        <v>992</v>
      </c>
      <c r="E867" s="2" t="s">
        <v>369</v>
      </c>
      <c r="F867" s="2" t="n">
        <v>1</v>
      </c>
      <c r="G867" s="2" t="s">
        <v>1017</v>
      </c>
    </row>
    <row r="868" customFormat="false" ht="15" hidden="false" customHeight="false" outlineLevel="0" collapsed="false">
      <c r="A868" s="2" t="s">
        <v>1920</v>
      </c>
      <c r="B868" s="2" t="s">
        <v>945</v>
      </c>
      <c r="C868" s="2" t="s">
        <v>1010</v>
      </c>
      <c r="D868" s="2" t="s">
        <v>992</v>
      </c>
      <c r="E868" s="2" t="s">
        <v>472</v>
      </c>
      <c r="F868" s="2" t="n">
        <v>1</v>
      </c>
      <c r="G868" s="2" t="s">
        <v>1017</v>
      </c>
    </row>
    <row r="869" customFormat="false" ht="15" hidden="false" customHeight="false" outlineLevel="0" collapsed="false">
      <c r="A869" s="2" t="s">
        <v>1921</v>
      </c>
      <c r="B869" s="2" t="s">
        <v>945</v>
      </c>
      <c r="C869" s="2" t="s">
        <v>1019</v>
      </c>
      <c r="D869" s="2" t="s">
        <v>983</v>
      </c>
      <c r="E869" s="2" t="s">
        <v>347</v>
      </c>
      <c r="F869" s="2" t="n">
        <v>1</v>
      </c>
      <c r="G869" s="2" t="s">
        <v>1107</v>
      </c>
    </row>
    <row r="870" customFormat="false" ht="15" hidden="false" customHeight="false" outlineLevel="0" collapsed="false">
      <c r="A870" s="2" t="s">
        <v>1922</v>
      </c>
      <c r="B870" s="2" t="s">
        <v>945</v>
      </c>
      <c r="C870" s="2" t="s">
        <v>1019</v>
      </c>
      <c r="D870" s="2" t="s">
        <v>986</v>
      </c>
      <c r="E870" s="2" t="s">
        <v>211</v>
      </c>
      <c r="F870" s="2" t="n">
        <v>1</v>
      </c>
      <c r="G870" s="2" t="s">
        <v>1020</v>
      </c>
    </row>
    <row r="871" customFormat="false" ht="15" hidden="false" customHeight="false" outlineLevel="0" collapsed="false">
      <c r="A871" s="2" t="s">
        <v>1923</v>
      </c>
      <c r="B871" s="2" t="s">
        <v>945</v>
      </c>
      <c r="C871" s="2" t="s">
        <v>1019</v>
      </c>
      <c r="D871" s="2" t="s">
        <v>989</v>
      </c>
      <c r="E871" s="2" t="s">
        <v>274</v>
      </c>
      <c r="F871" s="2" t="n">
        <v>1</v>
      </c>
      <c r="G871" s="2" t="s">
        <v>1022</v>
      </c>
    </row>
    <row r="872" customFormat="false" ht="15" hidden="false" customHeight="false" outlineLevel="0" collapsed="false">
      <c r="A872" s="2" t="s">
        <v>1924</v>
      </c>
      <c r="B872" s="2" t="s">
        <v>945</v>
      </c>
      <c r="C872" s="2" t="s">
        <v>1026</v>
      </c>
      <c r="D872" s="2" t="s">
        <v>983</v>
      </c>
      <c r="E872" s="2" t="s">
        <v>304</v>
      </c>
      <c r="F872" s="2" t="n">
        <v>1</v>
      </c>
      <c r="G872" s="2" t="s">
        <v>1027</v>
      </c>
    </row>
    <row r="873" customFormat="false" ht="15" hidden="false" customHeight="false" outlineLevel="0" collapsed="false">
      <c r="A873" s="2" t="s">
        <v>1925</v>
      </c>
      <c r="B873" s="2" t="s">
        <v>945</v>
      </c>
      <c r="C873" s="2" t="s">
        <v>1026</v>
      </c>
      <c r="D873" s="2" t="s">
        <v>986</v>
      </c>
      <c r="E873" s="2" t="s">
        <v>380</v>
      </c>
      <c r="F873" s="2" t="n">
        <v>1</v>
      </c>
      <c r="G873" s="2" t="s">
        <v>1029</v>
      </c>
    </row>
    <row r="874" customFormat="false" ht="15" hidden="false" customHeight="false" outlineLevel="0" collapsed="false">
      <c r="A874" s="2" t="s">
        <v>1926</v>
      </c>
      <c r="B874" s="2" t="s">
        <v>945</v>
      </c>
      <c r="C874" s="2" t="s">
        <v>1026</v>
      </c>
      <c r="D874" s="2" t="s">
        <v>992</v>
      </c>
      <c r="E874" s="2" t="s">
        <v>496</v>
      </c>
      <c r="F874" s="2" t="n">
        <v>1</v>
      </c>
      <c r="G874" s="2" t="s">
        <v>1114</v>
      </c>
    </row>
    <row r="875" customFormat="false" ht="15" hidden="false" customHeight="false" outlineLevel="0" collapsed="false">
      <c r="A875" s="2" t="s">
        <v>1927</v>
      </c>
      <c r="B875" s="2" t="s">
        <v>945</v>
      </c>
      <c r="C875" s="2" t="s">
        <v>1026</v>
      </c>
      <c r="D875" s="2" t="s">
        <v>992</v>
      </c>
      <c r="E875" s="2" t="s">
        <v>459</v>
      </c>
      <c r="F875" s="2" t="n">
        <v>1</v>
      </c>
      <c r="G875" s="2" t="s">
        <v>1114</v>
      </c>
    </row>
    <row r="876" customFormat="false" ht="15" hidden="false" customHeight="false" outlineLevel="0" collapsed="false">
      <c r="A876" s="2" t="s">
        <v>1928</v>
      </c>
      <c r="B876" s="2" t="s">
        <v>945</v>
      </c>
      <c r="C876" s="2" t="s">
        <v>1033</v>
      </c>
      <c r="D876" s="2" t="s">
        <v>986</v>
      </c>
      <c r="E876" s="2" t="s">
        <v>268</v>
      </c>
      <c r="F876" s="2" t="n">
        <v>1</v>
      </c>
      <c r="G876" s="2" t="s">
        <v>1036</v>
      </c>
    </row>
    <row r="877" customFormat="false" ht="15" hidden="false" customHeight="false" outlineLevel="0" collapsed="false">
      <c r="A877" s="2" t="s">
        <v>1929</v>
      </c>
      <c r="B877" s="2" t="s">
        <v>945</v>
      </c>
      <c r="C877" s="2" t="s">
        <v>1033</v>
      </c>
      <c r="D877" s="2" t="s">
        <v>989</v>
      </c>
      <c r="E877" s="2" t="s">
        <v>352</v>
      </c>
      <c r="F877" s="2" t="n">
        <v>1</v>
      </c>
      <c r="G877" s="2" t="s">
        <v>1038</v>
      </c>
    </row>
    <row r="878" customFormat="false" ht="15" hidden="false" customHeight="false" outlineLevel="0" collapsed="false">
      <c r="A878" s="2" t="s">
        <v>1930</v>
      </c>
      <c r="B878" s="2" t="s">
        <v>945</v>
      </c>
      <c r="C878" s="2" t="s">
        <v>1033</v>
      </c>
      <c r="D878" s="2" t="s">
        <v>992</v>
      </c>
      <c r="E878" s="2" t="s">
        <v>335</v>
      </c>
      <c r="F878" s="2" t="n">
        <v>1</v>
      </c>
      <c r="G878" s="2" t="s">
        <v>1040</v>
      </c>
    </row>
    <row r="879" customFormat="false" ht="15" hidden="false" customHeight="false" outlineLevel="0" collapsed="false">
      <c r="A879" s="2" t="s">
        <v>1931</v>
      </c>
      <c r="B879" s="2" t="s">
        <v>945</v>
      </c>
      <c r="C879" s="2" t="s">
        <v>1033</v>
      </c>
      <c r="D879" s="2" t="s">
        <v>992</v>
      </c>
      <c r="E879" s="2" t="s">
        <v>472</v>
      </c>
      <c r="F879" s="2" t="n">
        <v>1</v>
      </c>
      <c r="G879" s="2" t="s">
        <v>1040</v>
      </c>
    </row>
    <row r="880" customFormat="false" ht="15" hidden="false" customHeight="false" outlineLevel="0" collapsed="false">
      <c r="A880" s="2" t="s">
        <v>1932</v>
      </c>
      <c r="B880" s="2" t="s">
        <v>945</v>
      </c>
      <c r="C880" s="2" t="s">
        <v>1043</v>
      </c>
      <c r="D880" s="2" t="s">
        <v>986</v>
      </c>
      <c r="E880" s="2" t="s">
        <v>268</v>
      </c>
      <c r="F880" s="2" t="n">
        <v>1</v>
      </c>
      <c r="G880" s="2" t="s">
        <v>1046</v>
      </c>
    </row>
    <row r="881" customFormat="false" ht="15" hidden="false" customHeight="false" outlineLevel="0" collapsed="false">
      <c r="A881" s="2" t="s">
        <v>1933</v>
      </c>
      <c r="B881" s="2" t="s">
        <v>945</v>
      </c>
      <c r="C881" s="2" t="s">
        <v>1043</v>
      </c>
      <c r="D881" s="2" t="s">
        <v>989</v>
      </c>
      <c r="E881" s="2" t="s">
        <v>369</v>
      </c>
      <c r="F881" s="2" t="n">
        <v>1</v>
      </c>
      <c r="G881" s="2" t="s">
        <v>1048</v>
      </c>
    </row>
    <row r="882" customFormat="false" ht="15" hidden="false" customHeight="false" outlineLevel="0" collapsed="false">
      <c r="A882" s="2" t="s">
        <v>1934</v>
      </c>
      <c r="B882" s="2" t="s">
        <v>945</v>
      </c>
      <c r="C882" s="2" t="s">
        <v>1052</v>
      </c>
      <c r="D882" s="2" t="s">
        <v>986</v>
      </c>
      <c r="E882" s="2" t="s">
        <v>329</v>
      </c>
      <c r="F882" s="2" t="n">
        <v>1</v>
      </c>
      <c r="G882" s="2" t="s">
        <v>1055</v>
      </c>
    </row>
    <row r="883" customFormat="false" ht="15" hidden="false" customHeight="false" outlineLevel="0" collapsed="false">
      <c r="A883" s="2" t="s">
        <v>1935</v>
      </c>
      <c r="B883" s="2" t="s">
        <v>945</v>
      </c>
      <c r="C883" s="2" t="s">
        <v>1052</v>
      </c>
      <c r="D883" s="2" t="s">
        <v>989</v>
      </c>
      <c r="E883" s="2" t="s">
        <v>352</v>
      </c>
      <c r="F883" s="2" t="n">
        <v>1</v>
      </c>
      <c r="G883" s="2" t="s">
        <v>1057</v>
      </c>
    </row>
    <row r="884" customFormat="false" ht="15" hidden="false" customHeight="false" outlineLevel="0" collapsed="false">
      <c r="A884" s="2" t="s">
        <v>1936</v>
      </c>
      <c r="B884" s="2" t="s">
        <v>945</v>
      </c>
      <c r="C884" s="2" t="s">
        <v>1052</v>
      </c>
      <c r="D884" s="2" t="s">
        <v>992</v>
      </c>
      <c r="E884" s="2" t="s">
        <v>335</v>
      </c>
      <c r="F884" s="2" t="n">
        <v>1</v>
      </c>
      <c r="G884" s="2" t="s">
        <v>1059</v>
      </c>
    </row>
    <row r="885" customFormat="false" ht="15" hidden="false" customHeight="false" outlineLevel="0" collapsed="false">
      <c r="A885" s="2" t="s">
        <v>1937</v>
      </c>
      <c r="B885" s="2" t="s">
        <v>945</v>
      </c>
      <c r="C885" s="2" t="s">
        <v>1052</v>
      </c>
      <c r="D885" s="2" t="s">
        <v>992</v>
      </c>
      <c r="E885" s="2" t="s">
        <v>466</v>
      </c>
      <c r="F885" s="2" t="n">
        <v>1</v>
      </c>
      <c r="G885" s="2" t="s">
        <v>1059</v>
      </c>
    </row>
    <row r="886" customFormat="false" ht="15" hidden="false" customHeight="false" outlineLevel="0" collapsed="false">
      <c r="A886" s="2" t="s">
        <v>1938</v>
      </c>
      <c r="B886" s="2" t="s">
        <v>945</v>
      </c>
      <c r="C886" s="2" t="s">
        <v>1052</v>
      </c>
      <c r="D886" s="2" t="s">
        <v>992</v>
      </c>
      <c r="E886" s="2" t="s">
        <v>472</v>
      </c>
      <c r="F886" s="2" t="n">
        <v>1</v>
      </c>
      <c r="G886" s="2" t="s">
        <v>1059</v>
      </c>
    </row>
    <row r="887" customFormat="false" ht="15" hidden="false" customHeight="false" outlineLevel="0" collapsed="false">
      <c r="A887" s="2" t="s">
        <v>1939</v>
      </c>
      <c r="B887" s="2" t="s">
        <v>945</v>
      </c>
      <c r="C887" s="2" t="s">
        <v>1128</v>
      </c>
      <c r="D887" s="2" t="s">
        <v>983</v>
      </c>
      <c r="E887" s="2" t="s">
        <v>352</v>
      </c>
      <c r="F887" s="2" t="n">
        <v>1</v>
      </c>
      <c r="G887" s="2" t="s">
        <v>1129</v>
      </c>
    </row>
    <row r="888" customFormat="false" ht="15" hidden="false" customHeight="false" outlineLevel="0" collapsed="false">
      <c r="A888" s="2" t="s">
        <v>1940</v>
      </c>
      <c r="B888" s="2" t="s">
        <v>945</v>
      </c>
      <c r="C888" s="2" t="s">
        <v>1128</v>
      </c>
      <c r="D888" s="2" t="s">
        <v>986</v>
      </c>
      <c r="E888" s="2" t="s">
        <v>268</v>
      </c>
      <c r="F888" s="2" t="n">
        <v>1</v>
      </c>
      <c r="G888" s="2" t="s">
        <v>1131</v>
      </c>
    </row>
    <row r="889" customFormat="false" ht="15" hidden="false" customHeight="false" outlineLevel="0" collapsed="false">
      <c r="A889" s="2" t="s">
        <v>1941</v>
      </c>
      <c r="B889" s="2" t="s">
        <v>945</v>
      </c>
      <c r="C889" s="2" t="s">
        <v>1128</v>
      </c>
      <c r="D889" s="2" t="s">
        <v>989</v>
      </c>
      <c r="E889" s="2" t="s">
        <v>442</v>
      </c>
      <c r="F889" s="2" t="n">
        <v>1</v>
      </c>
      <c r="G889" s="2" t="s">
        <v>1133</v>
      </c>
    </row>
    <row r="890" customFormat="false" ht="15" hidden="false" customHeight="false" outlineLevel="0" collapsed="false">
      <c r="A890" s="2" t="s">
        <v>1942</v>
      </c>
      <c r="B890" s="2" t="s">
        <v>945</v>
      </c>
      <c r="C890" s="2" t="s">
        <v>1071</v>
      </c>
      <c r="D890" s="2" t="s">
        <v>986</v>
      </c>
      <c r="E890" s="2" t="s">
        <v>233</v>
      </c>
      <c r="F890" s="2" t="n">
        <v>1</v>
      </c>
      <c r="G890" s="2" t="s">
        <v>1072</v>
      </c>
    </row>
    <row r="891" customFormat="false" ht="15" hidden="false" customHeight="false" outlineLevel="0" collapsed="false">
      <c r="A891" s="2" t="s">
        <v>1943</v>
      </c>
      <c r="B891" s="2" t="s">
        <v>945</v>
      </c>
      <c r="C891" s="2" t="s">
        <v>1071</v>
      </c>
      <c r="D891" s="2" t="s">
        <v>989</v>
      </c>
      <c r="E891" s="2" t="s">
        <v>262</v>
      </c>
      <c r="F891" s="2" t="n">
        <v>1</v>
      </c>
      <c r="G891" s="2" t="s">
        <v>1074</v>
      </c>
    </row>
    <row r="892" customFormat="false" ht="15" hidden="false" customHeight="false" outlineLevel="0" collapsed="false">
      <c r="A892" s="2" t="s">
        <v>1944</v>
      </c>
      <c r="B892" s="2" t="s">
        <v>948</v>
      </c>
      <c r="C892" s="2" t="s">
        <v>1085</v>
      </c>
      <c r="D892" s="2" t="s">
        <v>983</v>
      </c>
      <c r="E892" s="2" t="s">
        <v>357</v>
      </c>
      <c r="F892" s="2" t="n">
        <v>1</v>
      </c>
      <c r="G892" s="2" t="s">
        <v>1086</v>
      </c>
    </row>
    <row r="893" customFormat="false" ht="15" hidden="false" customHeight="false" outlineLevel="0" collapsed="false">
      <c r="A893" s="2" t="s">
        <v>1945</v>
      </c>
      <c r="B893" s="2" t="s">
        <v>948</v>
      </c>
      <c r="C893" s="2" t="s">
        <v>1085</v>
      </c>
      <c r="D893" s="2" t="s">
        <v>986</v>
      </c>
      <c r="E893" s="2" t="s">
        <v>262</v>
      </c>
      <c r="F893" s="2" t="n">
        <v>1</v>
      </c>
      <c r="G893" s="2" t="s">
        <v>1088</v>
      </c>
    </row>
    <row r="894" customFormat="false" ht="15" hidden="false" customHeight="false" outlineLevel="0" collapsed="false">
      <c r="A894" s="2" t="s">
        <v>1946</v>
      </c>
      <c r="B894" s="2" t="s">
        <v>948</v>
      </c>
      <c r="C894" s="2" t="s">
        <v>1085</v>
      </c>
      <c r="D894" s="2" t="s">
        <v>989</v>
      </c>
      <c r="E894" s="2" t="s">
        <v>412</v>
      </c>
      <c r="F894" s="2" t="n">
        <v>1</v>
      </c>
      <c r="G894" s="2" t="s">
        <v>1090</v>
      </c>
    </row>
    <row r="895" customFormat="false" ht="15" hidden="false" customHeight="false" outlineLevel="0" collapsed="false">
      <c r="A895" s="2" t="s">
        <v>1947</v>
      </c>
      <c r="B895" s="2" t="s">
        <v>948</v>
      </c>
      <c r="C895" s="2" t="s">
        <v>982</v>
      </c>
      <c r="D895" s="2" t="s">
        <v>983</v>
      </c>
      <c r="E895" s="2" t="s">
        <v>304</v>
      </c>
      <c r="F895" s="2" t="n">
        <v>1</v>
      </c>
      <c r="G895" s="2" t="s">
        <v>984</v>
      </c>
    </row>
    <row r="896" customFormat="false" ht="15" hidden="false" customHeight="false" outlineLevel="0" collapsed="false">
      <c r="A896" s="2" t="s">
        <v>1948</v>
      </c>
      <c r="B896" s="2" t="s">
        <v>948</v>
      </c>
      <c r="C896" s="2" t="s">
        <v>982</v>
      </c>
      <c r="D896" s="2" t="s">
        <v>986</v>
      </c>
      <c r="E896" s="2" t="s">
        <v>369</v>
      </c>
      <c r="F896" s="2" t="n">
        <v>1</v>
      </c>
      <c r="G896" s="2" t="s">
        <v>987</v>
      </c>
    </row>
    <row r="897" customFormat="false" ht="15" hidden="false" customHeight="false" outlineLevel="0" collapsed="false">
      <c r="A897" s="2" t="s">
        <v>1949</v>
      </c>
      <c r="B897" s="2" t="s">
        <v>948</v>
      </c>
      <c r="C897" s="2" t="s">
        <v>982</v>
      </c>
      <c r="D897" s="2" t="s">
        <v>992</v>
      </c>
      <c r="E897" s="2" t="s">
        <v>335</v>
      </c>
      <c r="F897" s="2" t="n">
        <v>1</v>
      </c>
      <c r="G897" s="2" t="s">
        <v>993</v>
      </c>
    </row>
    <row r="898" customFormat="false" ht="15" hidden="false" customHeight="false" outlineLevel="0" collapsed="false">
      <c r="A898" s="2" t="s">
        <v>1950</v>
      </c>
      <c r="B898" s="2" t="s">
        <v>948</v>
      </c>
      <c r="C898" s="2" t="s">
        <v>996</v>
      </c>
      <c r="D898" s="2" t="s">
        <v>986</v>
      </c>
      <c r="E898" s="2" t="s">
        <v>262</v>
      </c>
      <c r="F898" s="2" t="n">
        <v>1</v>
      </c>
      <c r="G898" s="2" t="s">
        <v>999</v>
      </c>
    </row>
    <row r="899" customFormat="false" ht="15" hidden="false" customHeight="false" outlineLevel="0" collapsed="false">
      <c r="A899" s="2" t="s">
        <v>1951</v>
      </c>
      <c r="B899" s="2" t="s">
        <v>948</v>
      </c>
      <c r="C899" s="2" t="s">
        <v>996</v>
      </c>
      <c r="D899" s="2" t="s">
        <v>989</v>
      </c>
      <c r="E899" s="2" t="s">
        <v>298</v>
      </c>
      <c r="F899" s="2" t="n">
        <v>1</v>
      </c>
      <c r="G899" s="2" t="s">
        <v>1001</v>
      </c>
    </row>
    <row r="900" customFormat="false" ht="15" hidden="false" customHeight="false" outlineLevel="0" collapsed="false">
      <c r="A900" s="2" t="s">
        <v>1952</v>
      </c>
      <c r="B900" s="2" t="s">
        <v>948</v>
      </c>
      <c r="C900" s="2" t="s">
        <v>996</v>
      </c>
      <c r="D900" s="2" t="s">
        <v>992</v>
      </c>
      <c r="E900" s="2" t="s">
        <v>335</v>
      </c>
      <c r="F900" s="2" t="n">
        <v>1</v>
      </c>
      <c r="G900" s="2" t="s">
        <v>1156</v>
      </c>
    </row>
    <row r="901" customFormat="false" ht="15" hidden="false" customHeight="false" outlineLevel="0" collapsed="false">
      <c r="A901" s="2" t="s">
        <v>1953</v>
      </c>
      <c r="B901" s="2" t="s">
        <v>948</v>
      </c>
      <c r="C901" s="2" t="s">
        <v>996</v>
      </c>
      <c r="D901" s="2" t="s">
        <v>992</v>
      </c>
      <c r="E901" s="2" t="s">
        <v>472</v>
      </c>
      <c r="F901" s="2" t="n">
        <v>1</v>
      </c>
      <c r="G901" s="2" t="s">
        <v>1156</v>
      </c>
    </row>
    <row r="902" customFormat="false" ht="15" hidden="false" customHeight="false" outlineLevel="0" collapsed="false">
      <c r="A902" s="2" t="s">
        <v>1954</v>
      </c>
      <c r="B902" s="2" t="s">
        <v>948</v>
      </c>
      <c r="C902" s="2" t="s">
        <v>996</v>
      </c>
      <c r="D902" s="2" t="s">
        <v>992</v>
      </c>
      <c r="E902" s="2" t="s">
        <v>459</v>
      </c>
      <c r="F902" s="2" t="n">
        <v>1</v>
      </c>
      <c r="G902" s="2" t="s">
        <v>1156</v>
      </c>
    </row>
    <row r="903" customFormat="false" ht="15" hidden="false" customHeight="false" outlineLevel="0" collapsed="false">
      <c r="A903" s="2" t="s">
        <v>1955</v>
      </c>
      <c r="B903" s="2" t="s">
        <v>948</v>
      </c>
      <c r="C903" s="2" t="s">
        <v>1003</v>
      </c>
      <c r="D903" s="2" t="s">
        <v>986</v>
      </c>
      <c r="E903" s="2" t="s">
        <v>317</v>
      </c>
      <c r="F903" s="2" t="n">
        <v>1</v>
      </c>
      <c r="G903" s="2" t="s">
        <v>1006</v>
      </c>
    </row>
    <row r="904" customFormat="false" ht="15" hidden="false" customHeight="false" outlineLevel="0" collapsed="false">
      <c r="A904" s="2" t="s">
        <v>1956</v>
      </c>
      <c r="B904" s="2" t="s">
        <v>948</v>
      </c>
      <c r="C904" s="2" t="s">
        <v>1003</v>
      </c>
      <c r="D904" s="2" t="s">
        <v>989</v>
      </c>
      <c r="E904" s="2" t="s">
        <v>211</v>
      </c>
      <c r="F904" s="2" t="n">
        <v>1</v>
      </c>
      <c r="G904" s="2" t="s">
        <v>1008</v>
      </c>
    </row>
    <row r="905" customFormat="false" ht="15" hidden="false" customHeight="false" outlineLevel="0" collapsed="false">
      <c r="A905" s="2" t="s">
        <v>1957</v>
      </c>
      <c r="B905" s="2" t="s">
        <v>948</v>
      </c>
      <c r="C905" s="2" t="s">
        <v>1003</v>
      </c>
      <c r="D905" s="2" t="s">
        <v>992</v>
      </c>
      <c r="E905" s="2" t="s">
        <v>490</v>
      </c>
      <c r="F905" s="2" t="n">
        <v>1</v>
      </c>
      <c r="G905" s="2" t="s">
        <v>1103</v>
      </c>
    </row>
    <row r="906" customFormat="false" ht="15" hidden="false" customHeight="false" outlineLevel="0" collapsed="false">
      <c r="A906" s="2" t="s">
        <v>1958</v>
      </c>
      <c r="B906" s="2" t="s">
        <v>948</v>
      </c>
      <c r="C906" s="2" t="s">
        <v>1003</v>
      </c>
      <c r="D906" s="2" t="s">
        <v>992</v>
      </c>
      <c r="E906" s="2" t="s">
        <v>477</v>
      </c>
      <c r="F906" s="2" t="n">
        <v>1</v>
      </c>
      <c r="G906" s="2" t="s">
        <v>1103</v>
      </c>
    </row>
    <row r="907" customFormat="false" ht="15" hidden="false" customHeight="false" outlineLevel="0" collapsed="false">
      <c r="A907" s="2" t="s">
        <v>1959</v>
      </c>
      <c r="B907" s="2" t="s">
        <v>948</v>
      </c>
      <c r="C907" s="2" t="s">
        <v>1003</v>
      </c>
      <c r="D907" s="2" t="s">
        <v>992</v>
      </c>
      <c r="E907" s="2" t="s">
        <v>335</v>
      </c>
      <c r="F907" s="2" t="n">
        <v>1</v>
      </c>
      <c r="G907" s="2" t="s">
        <v>1103</v>
      </c>
    </row>
    <row r="908" customFormat="false" ht="15" hidden="false" customHeight="false" outlineLevel="0" collapsed="false">
      <c r="A908" s="2" t="s">
        <v>1960</v>
      </c>
      <c r="B908" s="2" t="s">
        <v>948</v>
      </c>
      <c r="C908" s="2" t="s">
        <v>1010</v>
      </c>
      <c r="D908" s="2" t="s">
        <v>986</v>
      </c>
      <c r="E908" s="2" t="s">
        <v>380</v>
      </c>
      <c r="F908" s="2" t="n">
        <v>1</v>
      </c>
      <c r="G908" s="2" t="s">
        <v>1013</v>
      </c>
    </row>
    <row r="909" customFormat="false" ht="15" hidden="false" customHeight="false" outlineLevel="0" collapsed="false">
      <c r="A909" s="2" t="s">
        <v>1961</v>
      </c>
      <c r="B909" s="2" t="s">
        <v>948</v>
      </c>
      <c r="C909" s="2" t="s">
        <v>1010</v>
      </c>
      <c r="D909" s="2" t="s">
        <v>989</v>
      </c>
      <c r="E909" s="2" t="s">
        <v>386</v>
      </c>
      <c r="F909" s="2" t="n">
        <v>1</v>
      </c>
      <c r="G909" s="2" t="s">
        <v>1015</v>
      </c>
    </row>
    <row r="910" customFormat="false" ht="15" hidden="false" customHeight="false" outlineLevel="0" collapsed="false">
      <c r="A910" s="2" t="s">
        <v>1962</v>
      </c>
      <c r="B910" s="2" t="s">
        <v>948</v>
      </c>
      <c r="C910" s="2" t="s">
        <v>1019</v>
      </c>
      <c r="D910" s="2" t="s">
        <v>983</v>
      </c>
      <c r="E910" s="2" t="s">
        <v>262</v>
      </c>
      <c r="F910" s="2" t="n">
        <v>1</v>
      </c>
      <c r="G910" s="2" t="s">
        <v>1107</v>
      </c>
    </row>
    <row r="911" customFormat="false" ht="15" hidden="false" customHeight="false" outlineLevel="0" collapsed="false">
      <c r="A911" s="2" t="s">
        <v>1963</v>
      </c>
      <c r="B911" s="2" t="s">
        <v>948</v>
      </c>
      <c r="C911" s="2" t="s">
        <v>1019</v>
      </c>
      <c r="D911" s="2" t="s">
        <v>986</v>
      </c>
      <c r="E911" s="2" t="s">
        <v>286</v>
      </c>
      <c r="F911" s="2" t="n">
        <v>1</v>
      </c>
      <c r="G911" s="2" t="s">
        <v>1020</v>
      </c>
    </row>
    <row r="912" customFormat="false" ht="15" hidden="false" customHeight="false" outlineLevel="0" collapsed="false">
      <c r="A912" s="2" t="s">
        <v>1964</v>
      </c>
      <c r="B912" s="2" t="s">
        <v>948</v>
      </c>
      <c r="C912" s="2" t="s">
        <v>1019</v>
      </c>
      <c r="D912" s="2" t="s">
        <v>989</v>
      </c>
      <c r="E912" s="2" t="s">
        <v>245</v>
      </c>
      <c r="F912" s="2" t="n">
        <v>1</v>
      </c>
      <c r="G912" s="2" t="s">
        <v>1022</v>
      </c>
    </row>
    <row r="913" customFormat="false" ht="15" hidden="false" customHeight="false" outlineLevel="0" collapsed="false">
      <c r="A913" s="2" t="s">
        <v>1965</v>
      </c>
      <c r="B913" s="2" t="s">
        <v>948</v>
      </c>
      <c r="C913" s="2" t="s">
        <v>1019</v>
      </c>
      <c r="D913" s="2" t="s">
        <v>992</v>
      </c>
      <c r="E913" s="2" t="s">
        <v>472</v>
      </c>
      <c r="F913" s="2" t="n">
        <v>1</v>
      </c>
      <c r="G913" s="2" t="s">
        <v>1024</v>
      </c>
    </row>
    <row r="914" customFormat="false" ht="15" hidden="false" customHeight="false" outlineLevel="0" collapsed="false">
      <c r="A914" s="2" t="s">
        <v>1966</v>
      </c>
      <c r="B914" s="2" t="s">
        <v>948</v>
      </c>
      <c r="C914" s="2" t="s">
        <v>1026</v>
      </c>
      <c r="D914" s="2" t="s">
        <v>986</v>
      </c>
      <c r="E914" s="2" t="s">
        <v>347</v>
      </c>
      <c r="F914" s="2" t="n">
        <v>1</v>
      </c>
      <c r="G914" s="2" t="s">
        <v>1029</v>
      </c>
    </row>
    <row r="915" customFormat="false" ht="15" hidden="false" customHeight="false" outlineLevel="0" collapsed="false">
      <c r="A915" s="2" t="s">
        <v>1967</v>
      </c>
      <c r="B915" s="2" t="s">
        <v>948</v>
      </c>
      <c r="C915" s="2" t="s">
        <v>1026</v>
      </c>
      <c r="D915" s="2" t="s">
        <v>989</v>
      </c>
      <c r="E915" s="2" t="s">
        <v>239</v>
      </c>
      <c r="F915" s="2" t="n">
        <v>1</v>
      </c>
      <c r="G915" s="2" t="s">
        <v>1031</v>
      </c>
    </row>
    <row r="916" customFormat="false" ht="15" hidden="false" customHeight="false" outlineLevel="0" collapsed="false">
      <c r="A916" s="2" t="s">
        <v>1968</v>
      </c>
      <c r="B916" s="2" t="s">
        <v>948</v>
      </c>
      <c r="C916" s="2" t="s">
        <v>1026</v>
      </c>
      <c r="D916" s="2" t="s">
        <v>992</v>
      </c>
      <c r="E916" s="2" t="s">
        <v>369</v>
      </c>
      <c r="F916" s="2" t="n">
        <v>1</v>
      </c>
      <c r="G916" s="2" t="s">
        <v>1114</v>
      </c>
    </row>
    <row r="917" customFormat="false" ht="15" hidden="false" customHeight="false" outlineLevel="0" collapsed="false">
      <c r="A917" s="2" t="s">
        <v>1969</v>
      </c>
      <c r="B917" s="2" t="s">
        <v>948</v>
      </c>
      <c r="C917" s="2" t="s">
        <v>1033</v>
      </c>
      <c r="D917" s="2" t="s">
        <v>983</v>
      </c>
      <c r="E917" s="2" t="s">
        <v>233</v>
      </c>
      <c r="F917" s="2" t="n">
        <v>1</v>
      </c>
      <c r="G917" s="2" t="s">
        <v>1034</v>
      </c>
    </row>
    <row r="918" customFormat="false" ht="15" hidden="false" customHeight="false" outlineLevel="0" collapsed="false">
      <c r="A918" s="2" t="s">
        <v>1970</v>
      </c>
      <c r="B918" s="2" t="s">
        <v>948</v>
      </c>
      <c r="C918" s="2" t="s">
        <v>1033</v>
      </c>
      <c r="D918" s="2" t="s">
        <v>986</v>
      </c>
      <c r="E918" s="2" t="s">
        <v>392</v>
      </c>
      <c r="F918" s="2" t="n">
        <v>1</v>
      </c>
      <c r="G918" s="2" t="s">
        <v>1036</v>
      </c>
    </row>
    <row r="919" customFormat="false" ht="15" hidden="false" customHeight="false" outlineLevel="0" collapsed="false">
      <c r="A919" s="2" t="s">
        <v>1971</v>
      </c>
      <c r="B919" s="2" t="s">
        <v>948</v>
      </c>
      <c r="C919" s="2" t="s">
        <v>1033</v>
      </c>
      <c r="D919" s="2" t="s">
        <v>992</v>
      </c>
      <c r="E919" s="2" t="s">
        <v>466</v>
      </c>
      <c r="F919" s="2" t="n">
        <v>1</v>
      </c>
      <c r="G919" s="2" t="s">
        <v>1040</v>
      </c>
    </row>
    <row r="920" customFormat="false" ht="15" hidden="false" customHeight="false" outlineLevel="0" collapsed="false">
      <c r="A920" s="2" t="s">
        <v>1972</v>
      </c>
      <c r="B920" s="2" t="s">
        <v>948</v>
      </c>
      <c r="C920" s="2" t="s">
        <v>1033</v>
      </c>
      <c r="D920" s="2" t="s">
        <v>992</v>
      </c>
      <c r="E920" s="2" t="s">
        <v>459</v>
      </c>
      <c r="F920" s="2" t="n">
        <v>1</v>
      </c>
      <c r="G920" s="2" t="s">
        <v>1040</v>
      </c>
    </row>
    <row r="921" customFormat="false" ht="15" hidden="false" customHeight="false" outlineLevel="0" collapsed="false">
      <c r="A921" s="2" t="s">
        <v>1973</v>
      </c>
      <c r="B921" s="2" t="s">
        <v>948</v>
      </c>
      <c r="C921" s="2" t="s">
        <v>1033</v>
      </c>
      <c r="D921" s="2" t="s">
        <v>992</v>
      </c>
      <c r="E921" s="2" t="s">
        <v>459</v>
      </c>
      <c r="F921" s="2" t="n">
        <v>1</v>
      </c>
      <c r="G921" s="2" t="s">
        <v>1040</v>
      </c>
    </row>
    <row r="922" customFormat="false" ht="15" hidden="false" customHeight="false" outlineLevel="0" collapsed="false">
      <c r="A922" s="2" t="s">
        <v>1974</v>
      </c>
      <c r="B922" s="2" t="s">
        <v>948</v>
      </c>
      <c r="C922" s="2" t="s">
        <v>1052</v>
      </c>
      <c r="D922" s="2" t="s">
        <v>983</v>
      </c>
      <c r="E922" s="2" t="s">
        <v>268</v>
      </c>
      <c r="F922" s="2" t="n">
        <v>1</v>
      </c>
      <c r="G922" s="2" t="s">
        <v>1053</v>
      </c>
    </row>
    <row r="923" customFormat="false" ht="15" hidden="false" customHeight="false" outlineLevel="0" collapsed="false">
      <c r="A923" s="2" t="s">
        <v>1975</v>
      </c>
      <c r="B923" s="2" t="s">
        <v>948</v>
      </c>
      <c r="C923" s="2" t="s">
        <v>1052</v>
      </c>
      <c r="D923" s="2" t="s">
        <v>986</v>
      </c>
      <c r="E923" s="2" t="s">
        <v>399</v>
      </c>
      <c r="F923" s="2" t="n">
        <v>1</v>
      </c>
      <c r="G923" s="2" t="s">
        <v>1055</v>
      </c>
    </row>
    <row r="924" customFormat="false" ht="15" hidden="false" customHeight="false" outlineLevel="0" collapsed="false">
      <c r="A924" s="2" t="s">
        <v>1976</v>
      </c>
      <c r="B924" s="2" t="s">
        <v>948</v>
      </c>
      <c r="C924" s="2" t="s">
        <v>1052</v>
      </c>
      <c r="D924" s="2" t="s">
        <v>989</v>
      </c>
      <c r="E924" s="2" t="s">
        <v>386</v>
      </c>
      <c r="F924" s="2" t="n">
        <v>1</v>
      </c>
      <c r="G924" s="2" t="s">
        <v>1057</v>
      </c>
    </row>
    <row r="925" customFormat="false" ht="15" hidden="false" customHeight="false" outlineLevel="0" collapsed="false">
      <c r="A925" s="2" t="s">
        <v>1977</v>
      </c>
      <c r="B925" s="2" t="s">
        <v>948</v>
      </c>
      <c r="C925" s="2" t="s">
        <v>1128</v>
      </c>
      <c r="D925" s="2" t="s">
        <v>986</v>
      </c>
      <c r="E925" s="2" t="s">
        <v>369</v>
      </c>
      <c r="F925" s="2" t="n">
        <v>1</v>
      </c>
      <c r="G925" s="2" t="s">
        <v>1131</v>
      </c>
    </row>
    <row r="926" customFormat="false" ht="15" hidden="false" customHeight="false" outlineLevel="0" collapsed="false">
      <c r="A926" s="2" t="s">
        <v>1978</v>
      </c>
      <c r="B926" s="2" t="s">
        <v>948</v>
      </c>
      <c r="C926" s="2" t="s">
        <v>1128</v>
      </c>
      <c r="D926" s="2" t="s">
        <v>989</v>
      </c>
      <c r="E926" s="2" t="s">
        <v>311</v>
      </c>
      <c r="F926" s="2" t="n">
        <v>1</v>
      </c>
      <c r="G926" s="2" t="s">
        <v>1133</v>
      </c>
    </row>
    <row r="927" customFormat="false" ht="15" hidden="false" customHeight="false" outlineLevel="0" collapsed="false">
      <c r="A927" s="2" t="s">
        <v>1979</v>
      </c>
      <c r="B927" s="2" t="s">
        <v>948</v>
      </c>
      <c r="C927" s="2" t="s">
        <v>1128</v>
      </c>
      <c r="D927" s="2" t="s">
        <v>992</v>
      </c>
      <c r="E927" s="2" t="s">
        <v>369</v>
      </c>
      <c r="F927" s="2" t="n">
        <v>1</v>
      </c>
      <c r="G927" s="2" t="s">
        <v>1135</v>
      </c>
    </row>
    <row r="928" customFormat="false" ht="15" hidden="false" customHeight="false" outlineLevel="0" collapsed="false">
      <c r="A928" s="2" t="s">
        <v>1980</v>
      </c>
      <c r="B928" s="2" t="s">
        <v>948</v>
      </c>
      <c r="C928" s="2" t="s">
        <v>1061</v>
      </c>
      <c r="D928" s="2" t="s">
        <v>983</v>
      </c>
      <c r="E928" s="2" t="s">
        <v>357</v>
      </c>
      <c r="F928" s="2" t="n">
        <v>1</v>
      </c>
      <c r="G928" s="2" t="s">
        <v>1062</v>
      </c>
    </row>
    <row r="929" customFormat="false" ht="15" hidden="false" customHeight="false" outlineLevel="0" collapsed="false">
      <c r="A929" s="2" t="s">
        <v>1981</v>
      </c>
      <c r="B929" s="2" t="s">
        <v>948</v>
      </c>
      <c r="C929" s="2" t="s">
        <v>1061</v>
      </c>
      <c r="D929" s="2" t="s">
        <v>986</v>
      </c>
      <c r="E929" s="2" t="s">
        <v>274</v>
      </c>
      <c r="F929" s="2" t="n">
        <v>1</v>
      </c>
      <c r="G929" s="2" t="s">
        <v>1064</v>
      </c>
    </row>
    <row r="930" customFormat="false" ht="15" hidden="false" customHeight="false" outlineLevel="0" collapsed="false">
      <c r="A930" s="2" t="s">
        <v>1982</v>
      </c>
      <c r="B930" s="2" t="s">
        <v>948</v>
      </c>
      <c r="C930" s="2" t="s">
        <v>1061</v>
      </c>
      <c r="D930" s="2" t="s">
        <v>989</v>
      </c>
      <c r="E930" s="2" t="s">
        <v>221</v>
      </c>
      <c r="F930" s="2" t="n">
        <v>1</v>
      </c>
      <c r="G930" s="2" t="s">
        <v>1066</v>
      </c>
    </row>
    <row r="931" customFormat="false" ht="15" hidden="false" customHeight="false" outlineLevel="0" collapsed="false">
      <c r="A931" s="2" t="s">
        <v>1983</v>
      </c>
      <c r="B931" s="2" t="s">
        <v>948</v>
      </c>
      <c r="C931" s="2" t="s">
        <v>1061</v>
      </c>
      <c r="D931" s="2" t="s">
        <v>992</v>
      </c>
      <c r="E931" s="2" t="s">
        <v>369</v>
      </c>
      <c r="F931" s="2" t="n">
        <v>1</v>
      </c>
      <c r="G931" s="2" t="s">
        <v>1068</v>
      </c>
    </row>
    <row r="932" customFormat="false" ht="15" hidden="false" customHeight="false" outlineLevel="0" collapsed="false">
      <c r="A932" s="2" t="s">
        <v>1984</v>
      </c>
      <c r="B932" s="2" t="s">
        <v>948</v>
      </c>
      <c r="C932" s="2" t="s">
        <v>1061</v>
      </c>
      <c r="D932" s="2" t="s">
        <v>992</v>
      </c>
      <c r="E932" s="2" t="s">
        <v>496</v>
      </c>
      <c r="F932" s="2" t="n">
        <v>1</v>
      </c>
      <c r="G932" s="2" t="s">
        <v>1068</v>
      </c>
    </row>
    <row r="933" customFormat="false" ht="15" hidden="false" customHeight="false" outlineLevel="0" collapsed="false">
      <c r="A933" s="2" t="s">
        <v>1985</v>
      </c>
      <c r="B933" s="2" t="s">
        <v>948</v>
      </c>
      <c r="C933" s="2" t="s">
        <v>1071</v>
      </c>
      <c r="D933" s="2" t="s">
        <v>986</v>
      </c>
      <c r="E933" s="2" t="s">
        <v>268</v>
      </c>
      <c r="F933" s="2" t="n">
        <v>1</v>
      </c>
      <c r="G933" s="2" t="s">
        <v>1072</v>
      </c>
    </row>
    <row r="934" customFormat="false" ht="15" hidden="false" customHeight="false" outlineLevel="0" collapsed="false">
      <c r="A934" s="2" t="s">
        <v>1986</v>
      </c>
      <c r="B934" s="2" t="s">
        <v>948</v>
      </c>
      <c r="C934" s="2" t="s">
        <v>1071</v>
      </c>
      <c r="D934" s="2" t="s">
        <v>989</v>
      </c>
      <c r="E934" s="2" t="s">
        <v>418</v>
      </c>
      <c r="F934" s="2" t="n">
        <v>1</v>
      </c>
      <c r="G934" s="2" t="s">
        <v>1074</v>
      </c>
    </row>
    <row r="935" customFormat="false" ht="15" hidden="false" customHeight="false" outlineLevel="0" collapsed="false">
      <c r="A935" s="2" t="s">
        <v>1987</v>
      </c>
      <c r="B935" s="2" t="s">
        <v>948</v>
      </c>
      <c r="C935" s="2" t="s">
        <v>1071</v>
      </c>
      <c r="D935" s="2" t="s">
        <v>992</v>
      </c>
      <c r="E935" s="2" t="s">
        <v>459</v>
      </c>
      <c r="F935" s="2" t="n">
        <v>1</v>
      </c>
      <c r="G935" s="2" t="s">
        <v>1141</v>
      </c>
    </row>
    <row r="936" customFormat="false" ht="15" hidden="false" customHeight="false" outlineLevel="0" collapsed="false">
      <c r="A936" s="2" t="s">
        <v>1988</v>
      </c>
      <c r="B936" s="2" t="s">
        <v>948</v>
      </c>
      <c r="C936" s="2" t="s">
        <v>1071</v>
      </c>
      <c r="D936" s="2" t="s">
        <v>992</v>
      </c>
      <c r="E936" s="2" t="s">
        <v>459</v>
      </c>
      <c r="F936" s="2" t="n">
        <v>1</v>
      </c>
      <c r="G936" s="2" t="s">
        <v>1141</v>
      </c>
    </row>
    <row r="937" customFormat="false" ht="15" hidden="false" customHeight="false" outlineLevel="0" collapsed="false">
      <c r="A937" s="2" t="s">
        <v>1989</v>
      </c>
      <c r="B937" s="2" t="s">
        <v>948</v>
      </c>
      <c r="C937" s="2" t="s">
        <v>220</v>
      </c>
      <c r="D937" s="2" t="s">
        <v>986</v>
      </c>
      <c r="E937" s="2" t="s">
        <v>369</v>
      </c>
      <c r="F937" s="2" t="n">
        <v>1</v>
      </c>
      <c r="G937" s="2" t="s">
        <v>1078</v>
      </c>
    </row>
    <row r="938" customFormat="false" ht="15" hidden="false" customHeight="false" outlineLevel="0" collapsed="false">
      <c r="A938" s="2" t="s">
        <v>1990</v>
      </c>
      <c r="B938" s="2" t="s">
        <v>948</v>
      </c>
      <c r="C938" s="2" t="s">
        <v>220</v>
      </c>
      <c r="D938" s="2" t="s">
        <v>989</v>
      </c>
      <c r="E938" s="2" t="s">
        <v>239</v>
      </c>
      <c r="F938" s="2" t="n">
        <v>1</v>
      </c>
      <c r="G938" s="2" t="s">
        <v>1080</v>
      </c>
    </row>
    <row r="939" customFormat="false" ht="15" hidden="false" customHeight="false" outlineLevel="0" collapsed="false">
      <c r="A939" s="2" t="s">
        <v>1991</v>
      </c>
      <c r="B939" s="2" t="s">
        <v>951</v>
      </c>
      <c r="C939" s="2" t="s">
        <v>1085</v>
      </c>
      <c r="D939" s="2" t="s">
        <v>983</v>
      </c>
      <c r="E939" s="2" t="s">
        <v>484</v>
      </c>
      <c r="F939" s="2" t="n">
        <v>1</v>
      </c>
      <c r="G939" s="2" t="s">
        <v>1086</v>
      </c>
    </row>
    <row r="940" customFormat="false" ht="15" hidden="false" customHeight="false" outlineLevel="0" collapsed="false">
      <c r="A940" s="2" t="s">
        <v>1992</v>
      </c>
      <c r="B940" s="2" t="s">
        <v>951</v>
      </c>
      <c r="C940" s="2" t="s">
        <v>1085</v>
      </c>
      <c r="D940" s="2" t="s">
        <v>986</v>
      </c>
      <c r="E940" s="2" t="s">
        <v>262</v>
      </c>
      <c r="F940" s="2" t="n">
        <v>1</v>
      </c>
      <c r="G940" s="2" t="s">
        <v>1088</v>
      </c>
    </row>
    <row r="941" customFormat="false" ht="15" hidden="false" customHeight="false" outlineLevel="0" collapsed="false">
      <c r="A941" s="2" t="s">
        <v>1993</v>
      </c>
      <c r="B941" s="2" t="s">
        <v>951</v>
      </c>
      <c r="C941" s="2" t="s">
        <v>1085</v>
      </c>
      <c r="D941" s="2" t="s">
        <v>989</v>
      </c>
      <c r="E941" s="2" t="s">
        <v>369</v>
      </c>
      <c r="F941" s="2" t="n">
        <v>1</v>
      </c>
      <c r="G941" s="2" t="s">
        <v>1090</v>
      </c>
    </row>
    <row r="942" customFormat="false" ht="15" hidden="false" customHeight="false" outlineLevel="0" collapsed="false">
      <c r="A942" s="2" t="s">
        <v>1994</v>
      </c>
      <c r="B942" s="2" t="s">
        <v>951</v>
      </c>
      <c r="C942" s="2" t="s">
        <v>996</v>
      </c>
      <c r="D942" s="2" t="s">
        <v>983</v>
      </c>
      <c r="E942" s="2" t="s">
        <v>341</v>
      </c>
      <c r="F942" s="2" t="n">
        <v>1</v>
      </c>
      <c r="G942" s="2" t="s">
        <v>997</v>
      </c>
    </row>
    <row r="943" customFormat="false" ht="15" hidden="false" customHeight="false" outlineLevel="0" collapsed="false">
      <c r="A943" s="2" t="s">
        <v>1995</v>
      </c>
      <c r="B943" s="2" t="s">
        <v>951</v>
      </c>
      <c r="C943" s="2" t="s">
        <v>996</v>
      </c>
      <c r="D943" s="2" t="s">
        <v>989</v>
      </c>
      <c r="E943" s="2" t="s">
        <v>268</v>
      </c>
      <c r="F943" s="2" t="n">
        <v>1</v>
      </c>
      <c r="G943" s="2" t="s">
        <v>1001</v>
      </c>
    </row>
    <row r="944" customFormat="false" ht="15" hidden="false" customHeight="false" outlineLevel="0" collapsed="false">
      <c r="A944" s="2" t="s">
        <v>1996</v>
      </c>
      <c r="B944" s="2" t="s">
        <v>951</v>
      </c>
      <c r="C944" s="2" t="s">
        <v>996</v>
      </c>
      <c r="D944" s="2" t="s">
        <v>992</v>
      </c>
      <c r="E944" s="2" t="s">
        <v>477</v>
      </c>
      <c r="F944" s="2" t="n">
        <v>1</v>
      </c>
      <c r="G944" s="2" t="s">
        <v>1156</v>
      </c>
    </row>
    <row r="945" customFormat="false" ht="15" hidden="false" customHeight="false" outlineLevel="0" collapsed="false">
      <c r="A945" s="2" t="s">
        <v>1997</v>
      </c>
      <c r="B945" s="2" t="s">
        <v>951</v>
      </c>
      <c r="C945" s="2" t="s">
        <v>1003</v>
      </c>
      <c r="D945" s="2" t="s">
        <v>986</v>
      </c>
      <c r="E945" s="2" t="s">
        <v>274</v>
      </c>
      <c r="F945" s="2" t="n">
        <v>1</v>
      </c>
      <c r="G945" s="2" t="s">
        <v>1006</v>
      </c>
    </row>
    <row r="946" customFormat="false" ht="15" hidden="false" customHeight="false" outlineLevel="0" collapsed="false">
      <c r="A946" s="2" t="s">
        <v>1998</v>
      </c>
      <c r="B946" s="2" t="s">
        <v>951</v>
      </c>
      <c r="C946" s="2" t="s">
        <v>1003</v>
      </c>
      <c r="D946" s="2" t="s">
        <v>989</v>
      </c>
      <c r="E946" s="2" t="s">
        <v>418</v>
      </c>
      <c r="F946" s="2" t="n">
        <v>1</v>
      </c>
      <c r="G946" s="2" t="s">
        <v>1008</v>
      </c>
    </row>
    <row r="947" customFormat="false" ht="15" hidden="false" customHeight="false" outlineLevel="0" collapsed="false">
      <c r="A947" s="2" t="s">
        <v>1999</v>
      </c>
      <c r="B947" s="2" t="s">
        <v>951</v>
      </c>
      <c r="C947" s="2" t="s">
        <v>1003</v>
      </c>
      <c r="D947" s="2" t="s">
        <v>992</v>
      </c>
      <c r="E947" s="2" t="s">
        <v>466</v>
      </c>
      <c r="F947" s="2" t="n">
        <v>1</v>
      </c>
      <c r="G947" s="2" t="s">
        <v>1103</v>
      </c>
    </row>
    <row r="948" customFormat="false" ht="15" hidden="false" customHeight="false" outlineLevel="0" collapsed="false">
      <c r="A948" s="2" t="s">
        <v>2000</v>
      </c>
      <c r="B948" s="2" t="s">
        <v>951</v>
      </c>
      <c r="C948" s="2" t="s">
        <v>1003</v>
      </c>
      <c r="D948" s="2" t="s">
        <v>992</v>
      </c>
      <c r="E948" s="2" t="s">
        <v>472</v>
      </c>
      <c r="F948" s="2" t="n">
        <v>1</v>
      </c>
      <c r="G948" s="2" t="s">
        <v>1103</v>
      </c>
    </row>
    <row r="949" customFormat="false" ht="15" hidden="false" customHeight="false" outlineLevel="0" collapsed="false">
      <c r="A949" s="2" t="s">
        <v>2001</v>
      </c>
      <c r="B949" s="2" t="s">
        <v>951</v>
      </c>
      <c r="C949" s="2" t="s">
        <v>1003</v>
      </c>
      <c r="D949" s="2" t="s">
        <v>992</v>
      </c>
      <c r="E949" s="2" t="s">
        <v>459</v>
      </c>
      <c r="F949" s="2" t="n">
        <v>1</v>
      </c>
      <c r="G949" s="2" t="s">
        <v>1103</v>
      </c>
    </row>
    <row r="950" customFormat="false" ht="15" hidden="false" customHeight="false" outlineLevel="0" collapsed="false">
      <c r="A950" s="2" t="s">
        <v>2002</v>
      </c>
      <c r="B950" s="2" t="s">
        <v>951</v>
      </c>
      <c r="C950" s="2" t="s">
        <v>1003</v>
      </c>
      <c r="D950" s="2" t="s">
        <v>992</v>
      </c>
      <c r="E950" s="2" t="s">
        <v>466</v>
      </c>
      <c r="F950" s="2" t="n">
        <v>1</v>
      </c>
      <c r="G950" s="2" t="s">
        <v>1103</v>
      </c>
    </row>
    <row r="951" customFormat="false" ht="15" hidden="false" customHeight="false" outlineLevel="0" collapsed="false">
      <c r="A951" s="2" t="s">
        <v>2003</v>
      </c>
      <c r="B951" s="2" t="s">
        <v>951</v>
      </c>
      <c r="C951" s="2" t="s">
        <v>1003</v>
      </c>
      <c r="D951" s="2" t="s">
        <v>992</v>
      </c>
      <c r="E951" s="2" t="s">
        <v>466</v>
      </c>
      <c r="F951" s="2" t="n">
        <v>1</v>
      </c>
      <c r="G951" s="2" t="s">
        <v>1103</v>
      </c>
    </row>
    <row r="952" customFormat="false" ht="15" hidden="false" customHeight="false" outlineLevel="0" collapsed="false">
      <c r="A952" s="2" t="s">
        <v>2004</v>
      </c>
      <c r="B952" s="2" t="s">
        <v>951</v>
      </c>
      <c r="C952" s="2" t="s">
        <v>1010</v>
      </c>
      <c r="D952" s="2" t="s">
        <v>986</v>
      </c>
      <c r="E952" s="2" t="s">
        <v>233</v>
      </c>
      <c r="F952" s="2" t="n">
        <v>1</v>
      </c>
      <c r="G952" s="2" t="s">
        <v>1013</v>
      </c>
    </row>
    <row r="953" customFormat="false" ht="15" hidden="false" customHeight="false" outlineLevel="0" collapsed="false">
      <c r="A953" s="2" t="s">
        <v>2005</v>
      </c>
      <c r="B953" s="2" t="s">
        <v>951</v>
      </c>
      <c r="C953" s="2" t="s">
        <v>1010</v>
      </c>
      <c r="D953" s="2" t="s">
        <v>989</v>
      </c>
      <c r="E953" s="2" t="s">
        <v>357</v>
      </c>
      <c r="F953" s="2" t="n">
        <v>1</v>
      </c>
      <c r="G953" s="2" t="s">
        <v>1015</v>
      </c>
    </row>
    <row r="954" customFormat="false" ht="15" hidden="false" customHeight="false" outlineLevel="0" collapsed="false">
      <c r="A954" s="2" t="s">
        <v>2006</v>
      </c>
      <c r="B954" s="2" t="s">
        <v>951</v>
      </c>
      <c r="C954" s="2" t="s">
        <v>1010</v>
      </c>
      <c r="D954" s="2" t="s">
        <v>992</v>
      </c>
      <c r="E954" s="2" t="s">
        <v>459</v>
      </c>
      <c r="F954" s="2" t="n">
        <v>1</v>
      </c>
      <c r="G954" s="2" t="s">
        <v>1017</v>
      </c>
    </row>
    <row r="955" customFormat="false" ht="15" hidden="false" customHeight="false" outlineLevel="0" collapsed="false">
      <c r="A955" s="2" t="s">
        <v>2007</v>
      </c>
      <c r="B955" s="2" t="s">
        <v>951</v>
      </c>
      <c r="C955" s="2" t="s">
        <v>1019</v>
      </c>
      <c r="D955" s="2" t="s">
        <v>983</v>
      </c>
      <c r="E955" s="2" t="s">
        <v>317</v>
      </c>
      <c r="F955" s="2" t="n">
        <v>1</v>
      </c>
      <c r="G955" s="2" t="s">
        <v>1107</v>
      </c>
    </row>
    <row r="956" customFormat="false" ht="15" hidden="false" customHeight="false" outlineLevel="0" collapsed="false">
      <c r="A956" s="2" t="s">
        <v>2008</v>
      </c>
      <c r="B956" s="2" t="s">
        <v>951</v>
      </c>
      <c r="C956" s="2" t="s">
        <v>1019</v>
      </c>
      <c r="D956" s="2" t="s">
        <v>986</v>
      </c>
      <c r="E956" s="2" t="s">
        <v>347</v>
      </c>
      <c r="F956" s="2" t="n">
        <v>1</v>
      </c>
      <c r="G956" s="2" t="s">
        <v>1020</v>
      </c>
    </row>
    <row r="957" customFormat="false" ht="15" hidden="false" customHeight="false" outlineLevel="0" collapsed="false">
      <c r="A957" s="2" t="s">
        <v>2009</v>
      </c>
      <c r="B957" s="2" t="s">
        <v>951</v>
      </c>
      <c r="C957" s="2" t="s">
        <v>1019</v>
      </c>
      <c r="D957" s="2" t="s">
        <v>989</v>
      </c>
      <c r="E957" s="2" t="s">
        <v>250</v>
      </c>
      <c r="F957" s="2" t="n">
        <v>1</v>
      </c>
      <c r="G957" s="2" t="s">
        <v>1022</v>
      </c>
    </row>
    <row r="958" customFormat="false" ht="15" hidden="false" customHeight="false" outlineLevel="0" collapsed="false">
      <c r="A958" s="2" t="s">
        <v>2010</v>
      </c>
      <c r="B958" s="2" t="s">
        <v>951</v>
      </c>
      <c r="C958" s="2" t="s">
        <v>1019</v>
      </c>
      <c r="D958" s="2" t="s">
        <v>992</v>
      </c>
      <c r="E958" s="2" t="s">
        <v>477</v>
      </c>
      <c r="F958" s="2" t="n">
        <v>1</v>
      </c>
      <c r="G958" s="2" t="s">
        <v>1024</v>
      </c>
    </row>
    <row r="959" customFormat="false" ht="15" hidden="false" customHeight="false" outlineLevel="0" collapsed="false">
      <c r="A959" s="2" t="s">
        <v>2011</v>
      </c>
      <c r="B959" s="2" t="s">
        <v>951</v>
      </c>
      <c r="C959" s="2" t="s">
        <v>1026</v>
      </c>
      <c r="D959" s="2" t="s">
        <v>986</v>
      </c>
      <c r="E959" s="2" t="s">
        <v>329</v>
      </c>
      <c r="F959" s="2" t="n">
        <v>1</v>
      </c>
      <c r="G959" s="2" t="s">
        <v>1029</v>
      </c>
    </row>
    <row r="960" customFormat="false" ht="15" hidden="false" customHeight="false" outlineLevel="0" collapsed="false">
      <c r="A960" s="2" t="s">
        <v>2012</v>
      </c>
      <c r="B960" s="2" t="s">
        <v>951</v>
      </c>
      <c r="C960" s="2" t="s">
        <v>1026</v>
      </c>
      <c r="D960" s="2" t="s">
        <v>989</v>
      </c>
      <c r="E960" s="2" t="s">
        <v>298</v>
      </c>
      <c r="F960" s="2" t="n">
        <v>1</v>
      </c>
      <c r="G960" s="2" t="s">
        <v>1031</v>
      </c>
    </row>
    <row r="961" customFormat="false" ht="15" hidden="false" customHeight="false" outlineLevel="0" collapsed="false">
      <c r="A961" s="2" t="s">
        <v>2013</v>
      </c>
      <c r="B961" s="2" t="s">
        <v>951</v>
      </c>
      <c r="C961" s="2" t="s">
        <v>1033</v>
      </c>
      <c r="D961" s="2" t="s">
        <v>983</v>
      </c>
      <c r="E961" s="2" t="s">
        <v>268</v>
      </c>
      <c r="F961" s="2" t="n">
        <v>1</v>
      </c>
      <c r="G961" s="2" t="s">
        <v>1034</v>
      </c>
    </row>
    <row r="962" customFormat="false" ht="15" hidden="false" customHeight="false" outlineLevel="0" collapsed="false">
      <c r="A962" s="2" t="s">
        <v>2014</v>
      </c>
      <c r="B962" s="2" t="s">
        <v>951</v>
      </c>
      <c r="C962" s="2" t="s">
        <v>1033</v>
      </c>
      <c r="D962" s="2" t="s">
        <v>986</v>
      </c>
      <c r="E962" s="2" t="s">
        <v>412</v>
      </c>
      <c r="F962" s="2" t="n">
        <v>1</v>
      </c>
      <c r="G962" s="2" t="s">
        <v>1036</v>
      </c>
    </row>
    <row r="963" customFormat="false" ht="15" hidden="false" customHeight="false" outlineLevel="0" collapsed="false">
      <c r="A963" s="2" t="s">
        <v>2015</v>
      </c>
      <c r="B963" s="2" t="s">
        <v>951</v>
      </c>
      <c r="C963" s="2" t="s">
        <v>1033</v>
      </c>
      <c r="D963" s="2" t="s">
        <v>989</v>
      </c>
      <c r="E963" s="2" t="s">
        <v>424</v>
      </c>
      <c r="F963" s="2" t="n">
        <v>1</v>
      </c>
      <c r="G963" s="2" t="s">
        <v>1038</v>
      </c>
    </row>
    <row r="964" customFormat="false" ht="15" hidden="false" customHeight="false" outlineLevel="0" collapsed="false">
      <c r="A964" s="2" t="s">
        <v>2016</v>
      </c>
      <c r="B964" s="2" t="s">
        <v>951</v>
      </c>
      <c r="C964" s="2" t="s">
        <v>1033</v>
      </c>
      <c r="D964" s="2" t="s">
        <v>992</v>
      </c>
      <c r="E964" s="2" t="s">
        <v>496</v>
      </c>
      <c r="F964" s="2" t="n">
        <v>1</v>
      </c>
      <c r="G964" s="2" t="s">
        <v>1040</v>
      </c>
    </row>
    <row r="965" customFormat="false" ht="15" hidden="false" customHeight="false" outlineLevel="0" collapsed="false">
      <c r="A965" s="2" t="s">
        <v>2017</v>
      </c>
      <c r="B965" s="2" t="s">
        <v>951</v>
      </c>
      <c r="C965" s="2" t="s">
        <v>1052</v>
      </c>
      <c r="D965" s="2" t="s">
        <v>986</v>
      </c>
      <c r="E965" s="2" t="s">
        <v>335</v>
      </c>
      <c r="F965" s="2" t="n">
        <v>1</v>
      </c>
      <c r="G965" s="2" t="s">
        <v>1055</v>
      </c>
    </row>
    <row r="966" customFormat="false" ht="15" hidden="false" customHeight="false" outlineLevel="0" collapsed="false">
      <c r="A966" s="2" t="s">
        <v>2018</v>
      </c>
      <c r="B966" s="2" t="s">
        <v>951</v>
      </c>
      <c r="C966" s="2" t="s">
        <v>1052</v>
      </c>
      <c r="D966" s="2" t="s">
        <v>989</v>
      </c>
      <c r="E966" s="2" t="s">
        <v>386</v>
      </c>
      <c r="F966" s="2" t="n">
        <v>1</v>
      </c>
      <c r="G966" s="2" t="s">
        <v>1057</v>
      </c>
    </row>
    <row r="967" customFormat="false" ht="15" hidden="false" customHeight="false" outlineLevel="0" collapsed="false">
      <c r="A967" s="2" t="s">
        <v>2019</v>
      </c>
      <c r="B967" s="2" t="s">
        <v>951</v>
      </c>
      <c r="C967" s="2" t="s">
        <v>1052</v>
      </c>
      <c r="D967" s="2" t="s">
        <v>992</v>
      </c>
      <c r="E967" s="2" t="s">
        <v>477</v>
      </c>
      <c r="F967" s="2" t="n">
        <v>1</v>
      </c>
      <c r="G967" s="2" t="s">
        <v>1059</v>
      </c>
    </row>
    <row r="968" customFormat="false" ht="15" hidden="false" customHeight="false" outlineLevel="0" collapsed="false">
      <c r="A968" s="2" t="s">
        <v>2020</v>
      </c>
      <c r="B968" s="2" t="s">
        <v>951</v>
      </c>
      <c r="C968" s="2" t="s">
        <v>1052</v>
      </c>
      <c r="D968" s="2" t="s">
        <v>992</v>
      </c>
      <c r="E968" s="2" t="s">
        <v>459</v>
      </c>
      <c r="F968" s="2" t="n">
        <v>1</v>
      </c>
      <c r="G968" s="2" t="s">
        <v>1059</v>
      </c>
    </row>
    <row r="969" customFormat="false" ht="15" hidden="false" customHeight="false" outlineLevel="0" collapsed="false">
      <c r="A969" s="2" t="s">
        <v>2021</v>
      </c>
      <c r="B969" s="2" t="s">
        <v>951</v>
      </c>
      <c r="C969" s="2" t="s">
        <v>1052</v>
      </c>
      <c r="D969" s="2" t="s">
        <v>992</v>
      </c>
      <c r="E969" s="2" t="s">
        <v>484</v>
      </c>
      <c r="F969" s="2" t="n">
        <v>1</v>
      </c>
      <c r="G969" s="2" t="s">
        <v>1059</v>
      </c>
    </row>
    <row r="970" customFormat="false" ht="15" hidden="false" customHeight="false" outlineLevel="0" collapsed="false">
      <c r="A970" s="2" t="s">
        <v>2022</v>
      </c>
      <c r="B970" s="2" t="s">
        <v>951</v>
      </c>
      <c r="C970" s="2" t="s">
        <v>1052</v>
      </c>
      <c r="D970" s="2" t="s">
        <v>992</v>
      </c>
      <c r="E970" s="2" t="s">
        <v>496</v>
      </c>
      <c r="F970" s="2" t="n">
        <v>1</v>
      </c>
      <c r="G970" s="2" t="s">
        <v>1059</v>
      </c>
    </row>
    <row r="971" customFormat="false" ht="15" hidden="false" customHeight="false" outlineLevel="0" collapsed="false">
      <c r="A971" s="2" t="s">
        <v>2023</v>
      </c>
      <c r="B971" s="2" t="s">
        <v>951</v>
      </c>
      <c r="C971" s="2" t="s">
        <v>1128</v>
      </c>
      <c r="D971" s="2" t="s">
        <v>983</v>
      </c>
      <c r="E971" s="2" t="s">
        <v>292</v>
      </c>
      <c r="F971" s="2" t="n">
        <v>1</v>
      </c>
      <c r="G971" s="2" t="s">
        <v>1129</v>
      </c>
    </row>
    <row r="972" customFormat="false" ht="15" hidden="false" customHeight="false" outlineLevel="0" collapsed="false">
      <c r="A972" s="2" t="s">
        <v>2024</v>
      </c>
      <c r="B972" s="2" t="s">
        <v>951</v>
      </c>
      <c r="C972" s="2" t="s">
        <v>1128</v>
      </c>
      <c r="D972" s="2" t="s">
        <v>986</v>
      </c>
      <c r="E972" s="2" t="s">
        <v>311</v>
      </c>
      <c r="F972" s="2" t="n">
        <v>1</v>
      </c>
      <c r="G972" s="2" t="s">
        <v>1131</v>
      </c>
    </row>
    <row r="973" customFormat="false" ht="15" hidden="false" customHeight="false" outlineLevel="0" collapsed="false">
      <c r="A973" s="2" t="s">
        <v>2025</v>
      </c>
      <c r="B973" s="2" t="s">
        <v>951</v>
      </c>
      <c r="C973" s="2" t="s">
        <v>1128</v>
      </c>
      <c r="D973" s="2" t="s">
        <v>989</v>
      </c>
      <c r="E973" s="2" t="s">
        <v>424</v>
      </c>
      <c r="F973" s="2" t="n">
        <v>1</v>
      </c>
      <c r="G973" s="2" t="s">
        <v>1133</v>
      </c>
    </row>
    <row r="974" customFormat="false" ht="15" hidden="false" customHeight="false" outlineLevel="0" collapsed="false">
      <c r="A974" s="2" t="s">
        <v>2026</v>
      </c>
      <c r="B974" s="2" t="s">
        <v>951</v>
      </c>
      <c r="C974" s="2" t="s">
        <v>1128</v>
      </c>
      <c r="D974" s="2" t="s">
        <v>992</v>
      </c>
      <c r="E974" s="2" t="s">
        <v>459</v>
      </c>
      <c r="F974" s="2" t="n">
        <v>1</v>
      </c>
      <c r="G974" s="2" t="s">
        <v>1135</v>
      </c>
    </row>
    <row r="975" customFormat="false" ht="15" hidden="false" customHeight="false" outlineLevel="0" collapsed="false">
      <c r="A975" s="2" t="s">
        <v>2027</v>
      </c>
      <c r="B975" s="2" t="s">
        <v>951</v>
      </c>
      <c r="C975" s="2" t="s">
        <v>1061</v>
      </c>
      <c r="D975" s="2" t="s">
        <v>983</v>
      </c>
      <c r="E975" s="2" t="s">
        <v>245</v>
      </c>
      <c r="F975" s="2" t="n">
        <v>1</v>
      </c>
      <c r="G975" s="2" t="s">
        <v>1062</v>
      </c>
    </row>
    <row r="976" customFormat="false" ht="15" hidden="false" customHeight="false" outlineLevel="0" collapsed="false">
      <c r="A976" s="2" t="s">
        <v>2028</v>
      </c>
      <c r="B976" s="2" t="s">
        <v>951</v>
      </c>
      <c r="C976" s="2" t="s">
        <v>1061</v>
      </c>
      <c r="D976" s="2" t="s">
        <v>986</v>
      </c>
      <c r="E976" s="2" t="s">
        <v>335</v>
      </c>
      <c r="F976" s="2" t="n">
        <v>1</v>
      </c>
      <c r="G976" s="2" t="s">
        <v>1064</v>
      </c>
    </row>
    <row r="977" customFormat="false" ht="15" hidden="false" customHeight="false" outlineLevel="0" collapsed="false">
      <c r="A977" s="2" t="s">
        <v>2029</v>
      </c>
      <c r="B977" s="2" t="s">
        <v>951</v>
      </c>
      <c r="C977" s="2" t="s">
        <v>1061</v>
      </c>
      <c r="D977" s="2" t="s">
        <v>989</v>
      </c>
      <c r="E977" s="2" t="s">
        <v>347</v>
      </c>
      <c r="F977" s="2" t="n">
        <v>1</v>
      </c>
      <c r="G977" s="2" t="s">
        <v>1066</v>
      </c>
    </row>
    <row r="978" customFormat="false" ht="15" hidden="false" customHeight="false" outlineLevel="0" collapsed="false">
      <c r="A978" s="2" t="s">
        <v>2030</v>
      </c>
      <c r="B978" s="2" t="s">
        <v>951</v>
      </c>
      <c r="C978" s="2" t="s">
        <v>1071</v>
      </c>
      <c r="D978" s="2" t="s">
        <v>986</v>
      </c>
      <c r="E978" s="2" t="s">
        <v>250</v>
      </c>
      <c r="F978" s="2" t="n">
        <v>1</v>
      </c>
      <c r="G978" s="2" t="s">
        <v>1072</v>
      </c>
    </row>
    <row r="979" customFormat="false" ht="15" hidden="false" customHeight="false" outlineLevel="0" collapsed="false">
      <c r="A979" s="2" t="s">
        <v>2031</v>
      </c>
      <c r="B979" s="2" t="s">
        <v>951</v>
      </c>
      <c r="C979" s="2" t="s">
        <v>1071</v>
      </c>
      <c r="D979" s="2" t="s">
        <v>989</v>
      </c>
      <c r="E979" s="2" t="s">
        <v>311</v>
      </c>
      <c r="F979" s="2" t="n">
        <v>1</v>
      </c>
      <c r="G979" s="2" t="s">
        <v>1074</v>
      </c>
    </row>
    <row r="980" customFormat="false" ht="15" hidden="false" customHeight="false" outlineLevel="0" collapsed="false">
      <c r="A980" s="2" t="s">
        <v>2032</v>
      </c>
      <c r="B980" s="2" t="s">
        <v>951</v>
      </c>
      <c r="C980" s="2" t="s">
        <v>1071</v>
      </c>
      <c r="D980" s="2" t="s">
        <v>992</v>
      </c>
      <c r="E980" s="2" t="s">
        <v>466</v>
      </c>
      <c r="F980" s="2" t="n">
        <v>1</v>
      </c>
      <c r="G980" s="2" t="s">
        <v>1141</v>
      </c>
    </row>
    <row r="981" customFormat="false" ht="15" hidden="false" customHeight="false" outlineLevel="0" collapsed="false">
      <c r="A981" s="2" t="s">
        <v>2033</v>
      </c>
      <c r="B981" s="2" t="s">
        <v>951</v>
      </c>
      <c r="C981" s="2" t="s">
        <v>220</v>
      </c>
      <c r="D981" s="2" t="s">
        <v>986</v>
      </c>
      <c r="E981" s="2" t="s">
        <v>274</v>
      </c>
      <c r="F981" s="2" t="n">
        <v>1</v>
      </c>
      <c r="G981" s="2" t="s">
        <v>1078</v>
      </c>
    </row>
    <row r="982" customFormat="false" ht="15" hidden="false" customHeight="false" outlineLevel="0" collapsed="false">
      <c r="A982" s="2" t="s">
        <v>2034</v>
      </c>
      <c r="B982" s="2" t="s">
        <v>951</v>
      </c>
      <c r="C982" s="2" t="s">
        <v>220</v>
      </c>
      <c r="D982" s="2" t="s">
        <v>989</v>
      </c>
      <c r="E982" s="2" t="s">
        <v>304</v>
      </c>
      <c r="F982" s="2" t="n">
        <v>1</v>
      </c>
      <c r="G982" s="2" t="s">
        <v>1080</v>
      </c>
    </row>
    <row r="983" customFormat="false" ht="15" hidden="false" customHeight="false" outlineLevel="0" collapsed="false">
      <c r="A983" s="2" t="s">
        <v>2035</v>
      </c>
      <c r="B983" s="2" t="s">
        <v>951</v>
      </c>
      <c r="C983" s="2" t="s">
        <v>220</v>
      </c>
      <c r="D983" s="2" t="s">
        <v>992</v>
      </c>
      <c r="E983" s="2" t="s">
        <v>369</v>
      </c>
      <c r="F983" s="2" t="n">
        <v>1</v>
      </c>
      <c r="G983" s="2" t="s">
        <v>1082</v>
      </c>
    </row>
    <row r="984" customFormat="false" ht="15" hidden="false" customHeight="false" outlineLevel="0" collapsed="false">
      <c r="A984" s="2" t="s">
        <v>2036</v>
      </c>
      <c r="B984" s="2" t="s">
        <v>954</v>
      </c>
      <c r="C984" s="2" t="s">
        <v>1085</v>
      </c>
      <c r="D984" s="2" t="s">
        <v>983</v>
      </c>
      <c r="E984" s="2" t="s">
        <v>352</v>
      </c>
      <c r="F984" s="2" t="n">
        <v>1</v>
      </c>
      <c r="G984" s="2" t="s">
        <v>1086</v>
      </c>
    </row>
    <row r="985" customFormat="false" ht="15" hidden="false" customHeight="false" outlineLevel="0" collapsed="false">
      <c r="A985" s="2" t="s">
        <v>2037</v>
      </c>
      <c r="B985" s="2" t="s">
        <v>954</v>
      </c>
      <c r="C985" s="2" t="s">
        <v>1085</v>
      </c>
      <c r="D985" s="2" t="s">
        <v>986</v>
      </c>
      <c r="E985" s="2" t="s">
        <v>280</v>
      </c>
      <c r="F985" s="2" t="n">
        <v>1</v>
      </c>
      <c r="G985" s="2" t="s">
        <v>1088</v>
      </c>
    </row>
    <row r="986" customFormat="false" ht="15" hidden="false" customHeight="false" outlineLevel="0" collapsed="false">
      <c r="A986" s="2" t="s">
        <v>2038</v>
      </c>
      <c r="B986" s="2" t="s">
        <v>954</v>
      </c>
      <c r="C986" s="2" t="s">
        <v>1085</v>
      </c>
      <c r="D986" s="2" t="s">
        <v>989</v>
      </c>
      <c r="E986" s="2" t="s">
        <v>454</v>
      </c>
      <c r="F986" s="2" t="n">
        <v>1</v>
      </c>
      <c r="G986" s="2" t="s">
        <v>1090</v>
      </c>
    </row>
    <row r="987" customFormat="false" ht="15" hidden="false" customHeight="false" outlineLevel="0" collapsed="false">
      <c r="A987" s="2" t="s">
        <v>2039</v>
      </c>
      <c r="B987" s="2" t="s">
        <v>954</v>
      </c>
      <c r="C987" s="2" t="s">
        <v>1085</v>
      </c>
      <c r="D987" s="2" t="s">
        <v>992</v>
      </c>
      <c r="E987" s="2" t="s">
        <v>459</v>
      </c>
      <c r="F987" s="2" t="n">
        <v>1</v>
      </c>
      <c r="G987" s="2" t="s">
        <v>1092</v>
      </c>
    </row>
    <row r="988" customFormat="false" ht="15" hidden="false" customHeight="false" outlineLevel="0" collapsed="false">
      <c r="A988" s="2" t="s">
        <v>2040</v>
      </c>
      <c r="B988" s="2" t="s">
        <v>954</v>
      </c>
      <c r="C988" s="2" t="s">
        <v>982</v>
      </c>
      <c r="D988" s="2" t="s">
        <v>983</v>
      </c>
      <c r="E988" s="2" t="s">
        <v>268</v>
      </c>
      <c r="F988" s="2" t="n">
        <v>1</v>
      </c>
      <c r="G988" s="2" t="s">
        <v>984</v>
      </c>
    </row>
    <row r="989" customFormat="false" ht="15" hidden="false" customHeight="false" outlineLevel="0" collapsed="false">
      <c r="A989" s="2" t="s">
        <v>2041</v>
      </c>
      <c r="B989" s="2" t="s">
        <v>954</v>
      </c>
      <c r="C989" s="2" t="s">
        <v>982</v>
      </c>
      <c r="D989" s="2" t="s">
        <v>986</v>
      </c>
      <c r="E989" s="2" t="s">
        <v>386</v>
      </c>
      <c r="F989" s="2" t="n">
        <v>1</v>
      </c>
      <c r="G989" s="2" t="s">
        <v>987</v>
      </c>
    </row>
    <row r="990" customFormat="false" ht="15" hidden="false" customHeight="false" outlineLevel="0" collapsed="false">
      <c r="A990" s="2" t="s">
        <v>2042</v>
      </c>
      <c r="B990" s="2" t="s">
        <v>954</v>
      </c>
      <c r="C990" s="2" t="s">
        <v>982</v>
      </c>
      <c r="D990" s="2" t="s">
        <v>989</v>
      </c>
      <c r="E990" s="2" t="s">
        <v>304</v>
      </c>
      <c r="F990" s="2" t="n">
        <v>1</v>
      </c>
      <c r="G990" s="2" t="s">
        <v>990</v>
      </c>
    </row>
    <row r="991" customFormat="false" ht="15" hidden="false" customHeight="false" outlineLevel="0" collapsed="false">
      <c r="A991" s="2" t="s">
        <v>2043</v>
      </c>
      <c r="B991" s="2" t="s">
        <v>954</v>
      </c>
      <c r="C991" s="2" t="s">
        <v>982</v>
      </c>
      <c r="D991" s="2" t="s">
        <v>992</v>
      </c>
      <c r="E991" s="2" t="s">
        <v>466</v>
      </c>
      <c r="F991" s="2" t="n">
        <v>1</v>
      </c>
      <c r="G991" s="2" t="s">
        <v>993</v>
      </c>
    </row>
    <row r="992" customFormat="false" ht="15" hidden="false" customHeight="false" outlineLevel="0" collapsed="false">
      <c r="A992" s="2" t="s">
        <v>2044</v>
      </c>
      <c r="B992" s="2" t="s">
        <v>954</v>
      </c>
      <c r="C992" s="2" t="s">
        <v>996</v>
      </c>
      <c r="D992" s="2" t="s">
        <v>986</v>
      </c>
      <c r="E992" s="2" t="s">
        <v>280</v>
      </c>
      <c r="F992" s="2" t="n">
        <v>1</v>
      </c>
      <c r="G992" s="2" t="s">
        <v>999</v>
      </c>
    </row>
    <row r="993" customFormat="false" ht="15" hidden="false" customHeight="false" outlineLevel="0" collapsed="false">
      <c r="A993" s="2" t="s">
        <v>2045</v>
      </c>
      <c r="B993" s="2" t="s">
        <v>954</v>
      </c>
      <c r="C993" s="2" t="s">
        <v>996</v>
      </c>
      <c r="D993" s="2" t="s">
        <v>989</v>
      </c>
      <c r="E993" s="2" t="s">
        <v>211</v>
      </c>
      <c r="F993" s="2" t="n">
        <v>1</v>
      </c>
      <c r="G993" s="2" t="s">
        <v>1001</v>
      </c>
    </row>
    <row r="994" customFormat="false" ht="15" hidden="false" customHeight="false" outlineLevel="0" collapsed="false">
      <c r="A994" s="2" t="s">
        <v>2046</v>
      </c>
      <c r="B994" s="2" t="s">
        <v>954</v>
      </c>
      <c r="C994" s="2" t="s">
        <v>996</v>
      </c>
      <c r="D994" s="2" t="s">
        <v>992</v>
      </c>
      <c r="E994" s="2" t="s">
        <v>459</v>
      </c>
      <c r="F994" s="2" t="n">
        <v>1</v>
      </c>
      <c r="G994" s="2" t="s">
        <v>1156</v>
      </c>
    </row>
    <row r="995" customFormat="false" ht="15" hidden="false" customHeight="false" outlineLevel="0" collapsed="false">
      <c r="A995" s="2" t="s">
        <v>2047</v>
      </c>
      <c r="B995" s="2" t="s">
        <v>954</v>
      </c>
      <c r="C995" s="2" t="s">
        <v>1010</v>
      </c>
      <c r="D995" s="2" t="s">
        <v>983</v>
      </c>
      <c r="E995" s="2" t="s">
        <v>221</v>
      </c>
      <c r="F995" s="2" t="n">
        <v>1</v>
      </c>
      <c r="G995" s="2" t="s">
        <v>1011</v>
      </c>
    </row>
    <row r="996" customFormat="false" ht="15" hidden="false" customHeight="false" outlineLevel="0" collapsed="false">
      <c r="A996" s="2" t="s">
        <v>2048</v>
      </c>
      <c r="B996" s="2" t="s">
        <v>954</v>
      </c>
      <c r="C996" s="2" t="s">
        <v>1010</v>
      </c>
      <c r="D996" s="2" t="s">
        <v>986</v>
      </c>
      <c r="E996" s="2" t="s">
        <v>380</v>
      </c>
      <c r="F996" s="2" t="n">
        <v>1</v>
      </c>
      <c r="G996" s="2" t="s">
        <v>1013</v>
      </c>
    </row>
    <row r="997" customFormat="false" ht="15" hidden="false" customHeight="false" outlineLevel="0" collapsed="false">
      <c r="A997" s="2" t="s">
        <v>2049</v>
      </c>
      <c r="B997" s="2" t="s">
        <v>954</v>
      </c>
      <c r="C997" s="2" t="s">
        <v>1010</v>
      </c>
      <c r="D997" s="2" t="s">
        <v>989</v>
      </c>
      <c r="E997" s="2" t="s">
        <v>274</v>
      </c>
      <c r="F997" s="2" t="n">
        <v>1</v>
      </c>
      <c r="G997" s="2" t="s">
        <v>1015</v>
      </c>
    </row>
    <row r="998" customFormat="false" ht="15" hidden="false" customHeight="false" outlineLevel="0" collapsed="false">
      <c r="A998" s="2" t="s">
        <v>2050</v>
      </c>
      <c r="B998" s="2" t="s">
        <v>954</v>
      </c>
      <c r="C998" s="2" t="s">
        <v>1010</v>
      </c>
      <c r="D998" s="2" t="s">
        <v>992</v>
      </c>
      <c r="E998" s="2" t="s">
        <v>490</v>
      </c>
      <c r="F998" s="2" t="n">
        <v>1</v>
      </c>
      <c r="G998" s="2" t="s">
        <v>1017</v>
      </c>
    </row>
    <row r="999" customFormat="false" ht="15" hidden="false" customHeight="false" outlineLevel="0" collapsed="false">
      <c r="A999" s="2" t="s">
        <v>2051</v>
      </c>
      <c r="B999" s="2" t="s">
        <v>954</v>
      </c>
      <c r="C999" s="2" t="s">
        <v>1010</v>
      </c>
      <c r="D999" s="2" t="s">
        <v>992</v>
      </c>
      <c r="E999" s="2" t="s">
        <v>466</v>
      </c>
      <c r="F999" s="2" t="n">
        <v>1</v>
      </c>
      <c r="G999" s="2" t="s">
        <v>1017</v>
      </c>
    </row>
    <row r="1000" customFormat="false" ht="15" hidden="false" customHeight="false" outlineLevel="0" collapsed="false">
      <c r="A1000" s="2" t="s">
        <v>2052</v>
      </c>
      <c r="B1000" s="2" t="s">
        <v>954</v>
      </c>
      <c r="C1000" s="2" t="s">
        <v>1019</v>
      </c>
      <c r="D1000" s="2" t="s">
        <v>983</v>
      </c>
      <c r="E1000" s="2" t="s">
        <v>233</v>
      </c>
      <c r="F1000" s="2" t="n">
        <v>1</v>
      </c>
      <c r="G1000" s="2" t="s">
        <v>1107</v>
      </c>
    </row>
    <row r="1001" customFormat="false" ht="15" hidden="false" customHeight="false" outlineLevel="0" collapsed="false">
      <c r="A1001" s="2" t="s">
        <v>2053</v>
      </c>
      <c r="B1001" s="2" t="s">
        <v>954</v>
      </c>
      <c r="C1001" s="2" t="s">
        <v>1019</v>
      </c>
      <c r="D1001" s="2" t="s">
        <v>986</v>
      </c>
      <c r="E1001" s="2" t="s">
        <v>256</v>
      </c>
      <c r="F1001" s="2" t="n">
        <v>1</v>
      </c>
      <c r="G1001" s="2" t="s">
        <v>1020</v>
      </c>
    </row>
    <row r="1002" customFormat="false" ht="15" hidden="false" customHeight="false" outlineLevel="0" collapsed="false">
      <c r="A1002" s="2" t="s">
        <v>2054</v>
      </c>
      <c r="B1002" s="2" t="s">
        <v>954</v>
      </c>
      <c r="C1002" s="2" t="s">
        <v>1019</v>
      </c>
      <c r="D1002" s="2" t="s">
        <v>989</v>
      </c>
      <c r="E1002" s="2" t="s">
        <v>286</v>
      </c>
      <c r="F1002" s="2" t="n">
        <v>1</v>
      </c>
      <c r="G1002" s="2" t="s">
        <v>1022</v>
      </c>
    </row>
    <row r="1003" customFormat="false" ht="15" hidden="false" customHeight="false" outlineLevel="0" collapsed="false">
      <c r="A1003" s="2" t="s">
        <v>2055</v>
      </c>
      <c r="B1003" s="2" t="s">
        <v>954</v>
      </c>
      <c r="C1003" s="2" t="s">
        <v>1033</v>
      </c>
      <c r="D1003" s="2" t="s">
        <v>983</v>
      </c>
      <c r="E1003" s="2" t="s">
        <v>286</v>
      </c>
      <c r="F1003" s="2" t="n">
        <v>1</v>
      </c>
      <c r="G1003" s="2" t="s">
        <v>1034</v>
      </c>
    </row>
    <row r="1004" customFormat="false" ht="15" hidden="false" customHeight="false" outlineLevel="0" collapsed="false">
      <c r="A1004" s="2" t="s">
        <v>2056</v>
      </c>
      <c r="B1004" s="2" t="s">
        <v>954</v>
      </c>
      <c r="C1004" s="2" t="s">
        <v>1033</v>
      </c>
      <c r="D1004" s="2" t="s">
        <v>986</v>
      </c>
      <c r="E1004" s="2" t="s">
        <v>341</v>
      </c>
      <c r="F1004" s="2" t="n">
        <v>1</v>
      </c>
      <c r="G1004" s="2" t="s">
        <v>1036</v>
      </c>
    </row>
    <row r="1005" customFormat="false" ht="15" hidden="false" customHeight="false" outlineLevel="0" collapsed="false">
      <c r="A1005" s="2" t="s">
        <v>2057</v>
      </c>
      <c r="B1005" s="2" t="s">
        <v>954</v>
      </c>
      <c r="C1005" s="2" t="s">
        <v>1033</v>
      </c>
      <c r="D1005" s="2" t="s">
        <v>989</v>
      </c>
      <c r="E1005" s="2" t="s">
        <v>341</v>
      </c>
      <c r="F1005" s="2" t="n">
        <v>1</v>
      </c>
      <c r="G1005" s="2" t="s">
        <v>1038</v>
      </c>
    </row>
    <row r="1006" customFormat="false" ht="15" hidden="false" customHeight="false" outlineLevel="0" collapsed="false">
      <c r="A1006" s="2" t="s">
        <v>2058</v>
      </c>
      <c r="B1006" s="2" t="s">
        <v>954</v>
      </c>
      <c r="C1006" s="2" t="s">
        <v>1043</v>
      </c>
      <c r="D1006" s="2" t="s">
        <v>983</v>
      </c>
      <c r="E1006" s="2" t="s">
        <v>323</v>
      </c>
      <c r="F1006" s="2" t="n">
        <v>1</v>
      </c>
      <c r="G1006" s="2" t="s">
        <v>1044</v>
      </c>
    </row>
    <row r="1007" customFormat="false" ht="15" hidden="false" customHeight="false" outlineLevel="0" collapsed="false">
      <c r="A1007" s="2" t="s">
        <v>2059</v>
      </c>
      <c r="B1007" s="2" t="s">
        <v>954</v>
      </c>
      <c r="C1007" s="2" t="s">
        <v>1043</v>
      </c>
      <c r="D1007" s="2" t="s">
        <v>986</v>
      </c>
      <c r="E1007" s="2" t="s">
        <v>323</v>
      </c>
      <c r="F1007" s="2" t="n">
        <v>1</v>
      </c>
      <c r="G1007" s="2" t="s">
        <v>1046</v>
      </c>
    </row>
    <row r="1008" customFormat="false" ht="15" hidden="false" customHeight="false" outlineLevel="0" collapsed="false">
      <c r="A1008" s="2" t="s">
        <v>2060</v>
      </c>
      <c r="B1008" s="2" t="s">
        <v>954</v>
      </c>
      <c r="C1008" s="2" t="s">
        <v>1043</v>
      </c>
      <c r="D1008" s="2" t="s">
        <v>989</v>
      </c>
      <c r="E1008" s="2" t="s">
        <v>363</v>
      </c>
      <c r="F1008" s="2" t="n">
        <v>1</v>
      </c>
      <c r="G1008" s="2" t="s">
        <v>1048</v>
      </c>
    </row>
    <row r="1009" customFormat="false" ht="15" hidden="false" customHeight="false" outlineLevel="0" collapsed="false">
      <c r="A1009" s="2" t="s">
        <v>2061</v>
      </c>
      <c r="B1009" s="2" t="s">
        <v>954</v>
      </c>
      <c r="C1009" s="2" t="s">
        <v>1043</v>
      </c>
      <c r="D1009" s="2" t="s">
        <v>992</v>
      </c>
      <c r="E1009" s="2" t="s">
        <v>369</v>
      </c>
      <c r="F1009" s="2" t="n">
        <v>1</v>
      </c>
      <c r="G1009" s="2" t="s">
        <v>1050</v>
      </c>
    </row>
    <row r="1010" customFormat="false" ht="15" hidden="false" customHeight="false" outlineLevel="0" collapsed="false">
      <c r="A1010" s="2" t="s">
        <v>2062</v>
      </c>
      <c r="B1010" s="2" t="s">
        <v>954</v>
      </c>
      <c r="C1010" s="2" t="s">
        <v>1052</v>
      </c>
      <c r="D1010" s="2" t="s">
        <v>986</v>
      </c>
      <c r="E1010" s="2" t="s">
        <v>286</v>
      </c>
      <c r="F1010" s="2" t="n">
        <v>1</v>
      </c>
      <c r="G1010" s="2" t="s">
        <v>1055</v>
      </c>
    </row>
    <row r="1011" customFormat="false" ht="15" hidden="false" customHeight="false" outlineLevel="0" collapsed="false">
      <c r="A1011" s="2" t="s">
        <v>2063</v>
      </c>
      <c r="B1011" s="2" t="s">
        <v>954</v>
      </c>
      <c r="C1011" s="2" t="s">
        <v>1052</v>
      </c>
      <c r="D1011" s="2" t="s">
        <v>989</v>
      </c>
      <c r="E1011" s="2" t="s">
        <v>357</v>
      </c>
      <c r="F1011" s="2" t="n">
        <v>1</v>
      </c>
      <c r="G1011" s="2" t="s">
        <v>1057</v>
      </c>
    </row>
    <row r="1012" customFormat="false" ht="15" hidden="false" customHeight="false" outlineLevel="0" collapsed="false">
      <c r="A1012" s="2" t="s">
        <v>2064</v>
      </c>
      <c r="B1012" s="2" t="s">
        <v>954</v>
      </c>
      <c r="C1012" s="2" t="s">
        <v>1052</v>
      </c>
      <c r="D1012" s="2" t="s">
        <v>992</v>
      </c>
      <c r="E1012" s="2" t="s">
        <v>472</v>
      </c>
      <c r="F1012" s="2" t="n">
        <v>1</v>
      </c>
      <c r="G1012" s="2" t="s">
        <v>1059</v>
      </c>
    </row>
    <row r="1013" customFormat="false" ht="15" hidden="false" customHeight="false" outlineLevel="0" collapsed="false">
      <c r="A1013" s="2" t="s">
        <v>2065</v>
      </c>
      <c r="B1013" s="2" t="s">
        <v>954</v>
      </c>
      <c r="C1013" s="2" t="s">
        <v>1052</v>
      </c>
      <c r="D1013" s="2" t="s">
        <v>992</v>
      </c>
      <c r="E1013" s="2" t="s">
        <v>459</v>
      </c>
      <c r="F1013" s="2" t="n">
        <v>1</v>
      </c>
      <c r="G1013" s="2" t="s">
        <v>1059</v>
      </c>
    </row>
    <row r="1014" customFormat="false" ht="15" hidden="false" customHeight="false" outlineLevel="0" collapsed="false">
      <c r="A1014" s="2" t="s">
        <v>2066</v>
      </c>
      <c r="B1014" s="2" t="s">
        <v>954</v>
      </c>
      <c r="C1014" s="2" t="s">
        <v>1052</v>
      </c>
      <c r="D1014" s="2" t="s">
        <v>992</v>
      </c>
      <c r="E1014" s="2" t="s">
        <v>335</v>
      </c>
      <c r="F1014" s="2" t="n">
        <v>1</v>
      </c>
      <c r="G1014" s="2" t="s">
        <v>1059</v>
      </c>
    </row>
    <row r="1015" customFormat="false" ht="15" hidden="false" customHeight="false" outlineLevel="0" collapsed="false">
      <c r="A1015" s="2" t="s">
        <v>2067</v>
      </c>
      <c r="B1015" s="2" t="s">
        <v>954</v>
      </c>
      <c r="C1015" s="2" t="s">
        <v>1052</v>
      </c>
      <c r="D1015" s="2" t="s">
        <v>992</v>
      </c>
      <c r="E1015" s="2" t="s">
        <v>466</v>
      </c>
      <c r="F1015" s="2" t="n">
        <v>1</v>
      </c>
      <c r="G1015" s="2" t="s">
        <v>1059</v>
      </c>
    </row>
    <row r="1016" customFormat="false" ht="15" hidden="false" customHeight="false" outlineLevel="0" collapsed="false">
      <c r="A1016" s="2" t="s">
        <v>2068</v>
      </c>
      <c r="B1016" s="2" t="s">
        <v>954</v>
      </c>
      <c r="C1016" s="2" t="s">
        <v>1052</v>
      </c>
      <c r="D1016" s="2" t="s">
        <v>992</v>
      </c>
      <c r="E1016" s="2" t="s">
        <v>484</v>
      </c>
      <c r="F1016" s="2" t="n">
        <v>1</v>
      </c>
      <c r="G1016" s="2" t="s">
        <v>1059</v>
      </c>
    </row>
    <row r="1017" customFormat="false" ht="15" hidden="false" customHeight="false" outlineLevel="0" collapsed="false">
      <c r="A1017" s="2" t="s">
        <v>2069</v>
      </c>
      <c r="B1017" s="2" t="s">
        <v>954</v>
      </c>
      <c r="C1017" s="2" t="s">
        <v>1128</v>
      </c>
      <c r="D1017" s="2" t="s">
        <v>983</v>
      </c>
      <c r="E1017" s="2" t="s">
        <v>363</v>
      </c>
      <c r="F1017" s="2" t="n">
        <v>1</v>
      </c>
      <c r="G1017" s="2" t="s">
        <v>1129</v>
      </c>
    </row>
    <row r="1018" customFormat="false" ht="15" hidden="false" customHeight="false" outlineLevel="0" collapsed="false">
      <c r="A1018" s="2" t="s">
        <v>2070</v>
      </c>
      <c r="B1018" s="2" t="s">
        <v>954</v>
      </c>
      <c r="C1018" s="2" t="s">
        <v>1128</v>
      </c>
      <c r="D1018" s="2" t="s">
        <v>986</v>
      </c>
      <c r="E1018" s="2" t="s">
        <v>256</v>
      </c>
      <c r="F1018" s="2" t="n">
        <v>1</v>
      </c>
      <c r="G1018" s="2" t="s">
        <v>1131</v>
      </c>
    </row>
    <row r="1019" customFormat="false" ht="15" hidden="false" customHeight="false" outlineLevel="0" collapsed="false">
      <c r="A1019" s="2" t="s">
        <v>2071</v>
      </c>
      <c r="B1019" s="2" t="s">
        <v>954</v>
      </c>
      <c r="C1019" s="2" t="s">
        <v>1128</v>
      </c>
      <c r="D1019" s="2" t="s">
        <v>989</v>
      </c>
      <c r="E1019" s="2" t="s">
        <v>363</v>
      </c>
      <c r="F1019" s="2" t="n">
        <v>1</v>
      </c>
      <c r="G1019" s="2" t="s">
        <v>1133</v>
      </c>
    </row>
    <row r="1020" customFormat="false" ht="15" hidden="false" customHeight="false" outlineLevel="0" collapsed="false">
      <c r="A1020" s="2" t="s">
        <v>2072</v>
      </c>
      <c r="B1020" s="2" t="s">
        <v>954</v>
      </c>
      <c r="C1020" s="2" t="s">
        <v>1128</v>
      </c>
      <c r="D1020" s="2" t="s">
        <v>992</v>
      </c>
      <c r="E1020" s="2" t="s">
        <v>477</v>
      </c>
      <c r="F1020" s="2" t="n">
        <v>1</v>
      </c>
      <c r="G1020" s="2" t="s">
        <v>1135</v>
      </c>
    </row>
    <row r="1021" customFormat="false" ht="15" hidden="false" customHeight="false" outlineLevel="0" collapsed="false">
      <c r="A1021" s="2" t="s">
        <v>2073</v>
      </c>
      <c r="B1021" s="2" t="s">
        <v>954</v>
      </c>
      <c r="C1021" s="2" t="s">
        <v>1061</v>
      </c>
      <c r="D1021" s="2" t="s">
        <v>986</v>
      </c>
      <c r="E1021" s="2" t="s">
        <v>245</v>
      </c>
      <c r="F1021" s="2" t="n">
        <v>1</v>
      </c>
      <c r="G1021" s="2" t="s">
        <v>1064</v>
      </c>
    </row>
    <row r="1022" customFormat="false" ht="15" hidden="false" customHeight="false" outlineLevel="0" collapsed="false">
      <c r="A1022" s="2" t="s">
        <v>2074</v>
      </c>
      <c r="B1022" s="2" t="s">
        <v>954</v>
      </c>
      <c r="C1022" s="2" t="s">
        <v>1071</v>
      </c>
      <c r="D1022" s="2" t="s">
        <v>986</v>
      </c>
      <c r="E1022" s="2" t="s">
        <v>311</v>
      </c>
      <c r="F1022" s="2" t="n">
        <v>1</v>
      </c>
      <c r="G1022" s="2" t="s">
        <v>1072</v>
      </c>
    </row>
    <row r="1023" customFormat="false" ht="15" hidden="false" customHeight="false" outlineLevel="0" collapsed="false">
      <c r="A1023" s="2" t="s">
        <v>2075</v>
      </c>
      <c r="B1023" s="2" t="s">
        <v>954</v>
      </c>
      <c r="C1023" s="2" t="s">
        <v>1071</v>
      </c>
      <c r="D1023" s="2" t="s">
        <v>989</v>
      </c>
      <c r="E1023" s="2" t="s">
        <v>380</v>
      </c>
      <c r="F1023" s="2" t="n">
        <v>1</v>
      </c>
      <c r="G1023" s="2" t="s">
        <v>1074</v>
      </c>
    </row>
    <row r="1024" customFormat="false" ht="15" hidden="false" customHeight="false" outlineLevel="0" collapsed="false">
      <c r="A1024" s="2" t="s">
        <v>2076</v>
      </c>
      <c r="B1024" s="2" t="s">
        <v>954</v>
      </c>
      <c r="C1024" s="2" t="s">
        <v>1071</v>
      </c>
      <c r="D1024" s="2" t="s">
        <v>992</v>
      </c>
      <c r="E1024" s="2" t="s">
        <v>466</v>
      </c>
      <c r="F1024" s="2" t="n">
        <v>1</v>
      </c>
      <c r="G1024" s="2" t="s">
        <v>1141</v>
      </c>
    </row>
    <row r="1025" customFormat="false" ht="15" hidden="false" customHeight="false" outlineLevel="0" collapsed="false">
      <c r="A1025" s="2" t="s">
        <v>2077</v>
      </c>
      <c r="B1025" s="2" t="s">
        <v>954</v>
      </c>
      <c r="C1025" s="2" t="s">
        <v>220</v>
      </c>
      <c r="D1025" s="2" t="s">
        <v>983</v>
      </c>
      <c r="E1025" s="2" t="s">
        <v>369</v>
      </c>
      <c r="F1025" s="2" t="n">
        <v>1</v>
      </c>
      <c r="G1025" s="2" t="s">
        <v>1076</v>
      </c>
    </row>
    <row r="1026" customFormat="false" ht="15" hidden="false" customHeight="false" outlineLevel="0" collapsed="false">
      <c r="A1026" s="2" t="s">
        <v>2078</v>
      </c>
      <c r="B1026" s="2" t="s">
        <v>954</v>
      </c>
      <c r="C1026" s="2" t="s">
        <v>220</v>
      </c>
      <c r="D1026" s="2" t="s">
        <v>986</v>
      </c>
      <c r="E1026" s="2" t="s">
        <v>363</v>
      </c>
      <c r="F1026" s="2" t="n">
        <v>1</v>
      </c>
      <c r="G1026" s="2" t="s">
        <v>1078</v>
      </c>
    </row>
    <row r="1027" customFormat="false" ht="15" hidden="false" customHeight="false" outlineLevel="0" collapsed="false">
      <c r="A1027" s="2" t="s">
        <v>2079</v>
      </c>
      <c r="B1027" s="2" t="s">
        <v>954</v>
      </c>
      <c r="C1027" s="2" t="s">
        <v>220</v>
      </c>
      <c r="D1027" s="2" t="s">
        <v>989</v>
      </c>
      <c r="E1027" s="2" t="s">
        <v>329</v>
      </c>
      <c r="F1027" s="2" t="n">
        <v>1</v>
      </c>
      <c r="G1027" s="2" t="s">
        <v>1080</v>
      </c>
    </row>
    <row r="1028" customFormat="false" ht="15" hidden="false" customHeight="false" outlineLevel="0" collapsed="false">
      <c r="A1028" s="2" t="s">
        <v>2080</v>
      </c>
      <c r="B1028" s="2" t="s">
        <v>954</v>
      </c>
      <c r="C1028" s="2" t="s">
        <v>220</v>
      </c>
      <c r="D1028" s="2" t="s">
        <v>992</v>
      </c>
      <c r="E1028" s="2" t="s">
        <v>466</v>
      </c>
      <c r="F1028" s="2" t="n">
        <v>1</v>
      </c>
      <c r="G1028" s="2" t="s">
        <v>1082</v>
      </c>
    </row>
    <row r="1029" customFormat="false" ht="15" hidden="false" customHeight="false" outlineLevel="0" collapsed="false">
      <c r="A1029" s="2" t="s">
        <v>2081</v>
      </c>
      <c r="B1029" s="2" t="s">
        <v>954</v>
      </c>
      <c r="C1029" s="2" t="s">
        <v>220</v>
      </c>
      <c r="D1029" s="2" t="s">
        <v>992</v>
      </c>
      <c r="E1029" s="2" t="s">
        <v>496</v>
      </c>
      <c r="F1029" s="2" t="n">
        <v>1</v>
      </c>
      <c r="G1029" s="2" t="s">
        <v>1082</v>
      </c>
    </row>
    <row r="1030" customFormat="false" ht="15" hidden="false" customHeight="false" outlineLevel="0" collapsed="false">
      <c r="A1030" s="2" t="s">
        <v>2082</v>
      </c>
      <c r="B1030" s="2" t="s">
        <v>957</v>
      </c>
      <c r="C1030" s="2" t="s">
        <v>1085</v>
      </c>
      <c r="D1030" s="2" t="s">
        <v>986</v>
      </c>
      <c r="E1030" s="2" t="s">
        <v>329</v>
      </c>
      <c r="F1030" s="2" t="n">
        <v>1</v>
      </c>
      <c r="G1030" s="2" t="s">
        <v>1088</v>
      </c>
    </row>
    <row r="1031" customFormat="false" ht="15" hidden="false" customHeight="false" outlineLevel="0" collapsed="false">
      <c r="A1031" s="2" t="s">
        <v>2083</v>
      </c>
      <c r="B1031" s="2" t="s">
        <v>957</v>
      </c>
      <c r="C1031" s="2" t="s">
        <v>1085</v>
      </c>
      <c r="D1031" s="2" t="s">
        <v>989</v>
      </c>
      <c r="E1031" s="2" t="s">
        <v>323</v>
      </c>
      <c r="F1031" s="2" t="n">
        <v>1</v>
      </c>
      <c r="G1031" s="2" t="s">
        <v>1090</v>
      </c>
    </row>
    <row r="1032" customFormat="false" ht="15" hidden="false" customHeight="false" outlineLevel="0" collapsed="false">
      <c r="A1032" s="2" t="s">
        <v>2084</v>
      </c>
      <c r="B1032" s="2" t="s">
        <v>957</v>
      </c>
      <c r="C1032" s="2" t="s">
        <v>1085</v>
      </c>
      <c r="D1032" s="2" t="s">
        <v>992</v>
      </c>
      <c r="E1032" s="2" t="s">
        <v>459</v>
      </c>
      <c r="F1032" s="2" t="n">
        <v>1</v>
      </c>
      <c r="G1032" s="2" t="s">
        <v>1092</v>
      </c>
    </row>
    <row r="1033" customFormat="false" ht="15" hidden="false" customHeight="false" outlineLevel="0" collapsed="false">
      <c r="A1033" s="2" t="s">
        <v>2085</v>
      </c>
      <c r="B1033" s="2" t="s">
        <v>957</v>
      </c>
      <c r="C1033" s="2" t="s">
        <v>996</v>
      </c>
      <c r="D1033" s="2" t="s">
        <v>986</v>
      </c>
      <c r="E1033" s="2" t="s">
        <v>304</v>
      </c>
      <c r="F1033" s="2" t="n">
        <v>1</v>
      </c>
      <c r="G1033" s="2" t="s">
        <v>999</v>
      </c>
    </row>
    <row r="1034" customFormat="false" ht="15" hidden="false" customHeight="false" outlineLevel="0" collapsed="false">
      <c r="A1034" s="2" t="s">
        <v>2086</v>
      </c>
      <c r="B1034" s="2" t="s">
        <v>957</v>
      </c>
      <c r="C1034" s="2" t="s">
        <v>996</v>
      </c>
      <c r="D1034" s="2" t="s">
        <v>989</v>
      </c>
      <c r="E1034" s="2" t="s">
        <v>317</v>
      </c>
      <c r="F1034" s="2" t="n">
        <v>1</v>
      </c>
      <c r="G1034" s="2" t="s">
        <v>1001</v>
      </c>
    </row>
    <row r="1035" customFormat="false" ht="15" hidden="false" customHeight="false" outlineLevel="0" collapsed="false">
      <c r="A1035" s="2" t="s">
        <v>2087</v>
      </c>
      <c r="B1035" s="2" t="s">
        <v>957</v>
      </c>
      <c r="C1035" s="2" t="s">
        <v>996</v>
      </c>
      <c r="D1035" s="2" t="s">
        <v>992</v>
      </c>
      <c r="E1035" s="2" t="s">
        <v>335</v>
      </c>
      <c r="F1035" s="2" t="n">
        <v>1</v>
      </c>
      <c r="G1035" s="2" t="s">
        <v>1156</v>
      </c>
    </row>
    <row r="1036" customFormat="false" ht="15" hidden="false" customHeight="false" outlineLevel="0" collapsed="false">
      <c r="A1036" s="2" t="s">
        <v>2088</v>
      </c>
      <c r="B1036" s="2" t="s">
        <v>957</v>
      </c>
      <c r="C1036" s="2" t="s">
        <v>1003</v>
      </c>
      <c r="D1036" s="2" t="s">
        <v>983</v>
      </c>
      <c r="E1036" s="2" t="s">
        <v>227</v>
      </c>
      <c r="F1036" s="2" t="n">
        <v>1</v>
      </c>
      <c r="G1036" s="2" t="s">
        <v>1004</v>
      </c>
    </row>
    <row r="1037" customFormat="false" ht="15" hidden="false" customHeight="false" outlineLevel="0" collapsed="false">
      <c r="A1037" s="2" t="s">
        <v>2089</v>
      </c>
      <c r="B1037" s="2" t="s">
        <v>957</v>
      </c>
      <c r="C1037" s="2" t="s">
        <v>1003</v>
      </c>
      <c r="D1037" s="2" t="s">
        <v>986</v>
      </c>
      <c r="E1037" s="2" t="s">
        <v>374</v>
      </c>
      <c r="F1037" s="2" t="n">
        <v>1</v>
      </c>
      <c r="G1037" s="2" t="s">
        <v>1006</v>
      </c>
    </row>
    <row r="1038" customFormat="false" ht="15" hidden="false" customHeight="false" outlineLevel="0" collapsed="false">
      <c r="A1038" s="2" t="s">
        <v>2090</v>
      </c>
      <c r="B1038" s="2" t="s">
        <v>957</v>
      </c>
      <c r="C1038" s="2" t="s">
        <v>1003</v>
      </c>
      <c r="D1038" s="2" t="s">
        <v>989</v>
      </c>
      <c r="E1038" s="2" t="s">
        <v>274</v>
      </c>
      <c r="F1038" s="2" t="n">
        <v>1</v>
      </c>
      <c r="G1038" s="2" t="s">
        <v>1008</v>
      </c>
    </row>
    <row r="1039" customFormat="false" ht="15" hidden="false" customHeight="false" outlineLevel="0" collapsed="false">
      <c r="A1039" s="2" t="s">
        <v>2091</v>
      </c>
      <c r="B1039" s="2" t="s">
        <v>957</v>
      </c>
      <c r="C1039" s="2" t="s">
        <v>1003</v>
      </c>
      <c r="D1039" s="2" t="s">
        <v>992</v>
      </c>
      <c r="E1039" s="2" t="s">
        <v>335</v>
      </c>
      <c r="F1039" s="2" t="n">
        <v>1</v>
      </c>
      <c r="G1039" s="2" t="s">
        <v>1103</v>
      </c>
    </row>
    <row r="1040" customFormat="false" ht="15" hidden="false" customHeight="false" outlineLevel="0" collapsed="false">
      <c r="A1040" s="2" t="s">
        <v>2092</v>
      </c>
      <c r="B1040" s="2" t="s">
        <v>957</v>
      </c>
      <c r="C1040" s="2" t="s">
        <v>1010</v>
      </c>
      <c r="D1040" s="2" t="s">
        <v>983</v>
      </c>
      <c r="E1040" s="2" t="s">
        <v>335</v>
      </c>
      <c r="F1040" s="2" t="n">
        <v>1</v>
      </c>
      <c r="G1040" s="2" t="s">
        <v>1011</v>
      </c>
    </row>
    <row r="1041" customFormat="false" ht="15" hidden="false" customHeight="false" outlineLevel="0" collapsed="false">
      <c r="A1041" s="2" t="s">
        <v>2093</v>
      </c>
      <c r="B1041" s="2" t="s">
        <v>957</v>
      </c>
      <c r="C1041" s="2" t="s">
        <v>1010</v>
      </c>
      <c r="D1041" s="2" t="s">
        <v>986</v>
      </c>
      <c r="E1041" s="2" t="s">
        <v>386</v>
      </c>
      <c r="F1041" s="2" t="n">
        <v>1</v>
      </c>
      <c r="G1041" s="2" t="s">
        <v>1013</v>
      </c>
    </row>
    <row r="1042" customFormat="false" ht="15" hidden="false" customHeight="false" outlineLevel="0" collapsed="false">
      <c r="A1042" s="2" t="s">
        <v>2094</v>
      </c>
      <c r="B1042" s="2" t="s">
        <v>957</v>
      </c>
      <c r="C1042" s="2" t="s">
        <v>1010</v>
      </c>
      <c r="D1042" s="2" t="s">
        <v>989</v>
      </c>
      <c r="E1042" s="2" t="s">
        <v>374</v>
      </c>
      <c r="F1042" s="2" t="n">
        <v>1</v>
      </c>
      <c r="G1042" s="2" t="s">
        <v>1015</v>
      </c>
    </row>
    <row r="1043" customFormat="false" ht="15" hidden="false" customHeight="false" outlineLevel="0" collapsed="false">
      <c r="A1043" s="2" t="s">
        <v>2095</v>
      </c>
      <c r="B1043" s="2" t="s">
        <v>957</v>
      </c>
      <c r="C1043" s="2" t="s">
        <v>1010</v>
      </c>
      <c r="D1043" s="2" t="s">
        <v>992</v>
      </c>
      <c r="E1043" s="2" t="s">
        <v>466</v>
      </c>
      <c r="F1043" s="2" t="n">
        <v>1</v>
      </c>
      <c r="G1043" s="2" t="s">
        <v>1017</v>
      </c>
    </row>
    <row r="1044" customFormat="false" ht="15" hidden="false" customHeight="false" outlineLevel="0" collapsed="false">
      <c r="A1044" s="2" t="s">
        <v>2096</v>
      </c>
      <c r="B1044" s="2" t="s">
        <v>957</v>
      </c>
      <c r="C1044" s="2" t="s">
        <v>1010</v>
      </c>
      <c r="D1044" s="2" t="s">
        <v>992</v>
      </c>
      <c r="E1044" s="2" t="s">
        <v>459</v>
      </c>
      <c r="F1044" s="2" t="n">
        <v>1</v>
      </c>
      <c r="G1044" s="2" t="s">
        <v>1017</v>
      </c>
    </row>
    <row r="1045" customFormat="false" ht="15" hidden="false" customHeight="false" outlineLevel="0" collapsed="false">
      <c r="A1045" s="2" t="s">
        <v>2097</v>
      </c>
      <c r="B1045" s="2" t="s">
        <v>957</v>
      </c>
      <c r="C1045" s="2" t="s">
        <v>1019</v>
      </c>
      <c r="D1045" s="2" t="s">
        <v>983</v>
      </c>
      <c r="E1045" s="2" t="s">
        <v>369</v>
      </c>
      <c r="F1045" s="2" t="n">
        <v>1</v>
      </c>
      <c r="G1045" s="2" t="s">
        <v>1107</v>
      </c>
    </row>
    <row r="1046" customFormat="false" ht="15" hidden="false" customHeight="false" outlineLevel="0" collapsed="false">
      <c r="A1046" s="2" t="s">
        <v>2098</v>
      </c>
      <c r="B1046" s="2" t="s">
        <v>957</v>
      </c>
      <c r="C1046" s="2" t="s">
        <v>1019</v>
      </c>
      <c r="D1046" s="2" t="s">
        <v>986</v>
      </c>
      <c r="E1046" s="2" t="s">
        <v>363</v>
      </c>
      <c r="F1046" s="2" t="n">
        <v>1</v>
      </c>
      <c r="G1046" s="2" t="s">
        <v>1020</v>
      </c>
    </row>
    <row r="1047" customFormat="false" ht="15" hidden="false" customHeight="false" outlineLevel="0" collapsed="false">
      <c r="A1047" s="2" t="s">
        <v>2099</v>
      </c>
      <c r="B1047" s="2" t="s">
        <v>957</v>
      </c>
      <c r="C1047" s="2" t="s">
        <v>1019</v>
      </c>
      <c r="D1047" s="2" t="s">
        <v>989</v>
      </c>
      <c r="E1047" s="2" t="s">
        <v>436</v>
      </c>
      <c r="F1047" s="2" t="n">
        <v>1</v>
      </c>
      <c r="G1047" s="2" t="s">
        <v>1022</v>
      </c>
    </row>
    <row r="1048" customFormat="false" ht="15" hidden="false" customHeight="false" outlineLevel="0" collapsed="false">
      <c r="A1048" s="2" t="s">
        <v>2100</v>
      </c>
      <c r="B1048" s="2" t="s">
        <v>957</v>
      </c>
      <c r="C1048" s="2" t="s">
        <v>1026</v>
      </c>
      <c r="D1048" s="2" t="s">
        <v>986</v>
      </c>
      <c r="E1048" s="2" t="s">
        <v>311</v>
      </c>
      <c r="F1048" s="2" t="n">
        <v>1</v>
      </c>
      <c r="G1048" s="2" t="s">
        <v>1029</v>
      </c>
    </row>
    <row r="1049" customFormat="false" ht="15" hidden="false" customHeight="false" outlineLevel="0" collapsed="false">
      <c r="A1049" s="2" t="s">
        <v>2101</v>
      </c>
      <c r="B1049" s="2" t="s">
        <v>957</v>
      </c>
      <c r="C1049" s="2" t="s">
        <v>1026</v>
      </c>
      <c r="D1049" s="2" t="s">
        <v>989</v>
      </c>
      <c r="E1049" s="2" t="s">
        <v>211</v>
      </c>
      <c r="F1049" s="2" t="n">
        <v>1</v>
      </c>
      <c r="G1049" s="2" t="s">
        <v>1031</v>
      </c>
    </row>
    <row r="1050" customFormat="false" ht="15" hidden="false" customHeight="false" outlineLevel="0" collapsed="false">
      <c r="A1050" s="2" t="s">
        <v>2102</v>
      </c>
      <c r="B1050" s="2" t="s">
        <v>957</v>
      </c>
      <c r="C1050" s="2" t="s">
        <v>1026</v>
      </c>
      <c r="D1050" s="2" t="s">
        <v>992</v>
      </c>
      <c r="E1050" s="2" t="s">
        <v>496</v>
      </c>
      <c r="F1050" s="2" t="n">
        <v>1</v>
      </c>
      <c r="G1050" s="2" t="s">
        <v>1114</v>
      </c>
    </row>
    <row r="1051" customFormat="false" ht="15" hidden="false" customHeight="false" outlineLevel="0" collapsed="false">
      <c r="A1051" s="2" t="s">
        <v>2103</v>
      </c>
      <c r="B1051" s="2" t="s">
        <v>957</v>
      </c>
      <c r="C1051" s="2" t="s">
        <v>1033</v>
      </c>
      <c r="D1051" s="2" t="s">
        <v>986</v>
      </c>
      <c r="E1051" s="2" t="s">
        <v>347</v>
      </c>
      <c r="F1051" s="2" t="n">
        <v>1</v>
      </c>
      <c r="G1051" s="2" t="s">
        <v>1036</v>
      </c>
    </row>
    <row r="1052" customFormat="false" ht="15" hidden="false" customHeight="false" outlineLevel="0" collapsed="false">
      <c r="A1052" s="2" t="s">
        <v>2104</v>
      </c>
      <c r="B1052" s="2" t="s">
        <v>957</v>
      </c>
      <c r="C1052" s="2" t="s">
        <v>1033</v>
      </c>
      <c r="D1052" s="2" t="s">
        <v>989</v>
      </c>
      <c r="E1052" s="2" t="s">
        <v>239</v>
      </c>
      <c r="F1052" s="2" t="n">
        <v>1</v>
      </c>
      <c r="G1052" s="2" t="s">
        <v>1038</v>
      </c>
    </row>
    <row r="1053" customFormat="false" ht="15" hidden="false" customHeight="false" outlineLevel="0" collapsed="false">
      <c r="A1053" s="2" t="s">
        <v>2105</v>
      </c>
      <c r="B1053" s="2" t="s">
        <v>957</v>
      </c>
      <c r="C1053" s="2" t="s">
        <v>1033</v>
      </c>
      <c r="D1053" s="2" t="s">
        <v>992</v>
      </c>
      <c r="E1053" s="2" t="s">
        <v>369</v>
      </c>
      <c r="F1053" s="2" t="n">
        <v>1</v>
      </c>
      <c r="G1053" s="2" t="s">
        <v>1040</v>
      </c>
    </row>
    <row r="1054" customFormat="false" ht="15" hidden="false" customHeight="false" outlineLevel="0" collapsed="false">
      <c r="A1054" s="2" t="s">
        <v>2106</v>
      </c>
      <c r="B1054" s="2" t="s">
        <v>957</v>
      </c>
      <c r="C1054" s="2" t="s">
        <v>1043</v>
      </c>
      <c r="D1054" s="2" t="s">
        <v>983</v>
      </c>
      <c r="E1054" s="2" t="s">
        <v>484</v>
      </c>
      <c r="F1054" s="2" t="n">
        <v>1</v>
      </c>
      <c r="G1054" s="2" t="s">
        <v>1044</v>
      </c>
    </row>
    <row r="1055" customFormat="false" ht="15" hidden="false" customHeight="false" outlineLevel="0" collapsed="false">
      <c r="A1055" s="2" t="s">
        <v>2107</v>
      </c>
      <c r="B1055" s="2" t="s">
        <v>957</v>
      </c>
      <c r="C1055" s="2" t="s">
        <v>1043</v>
      </c>
      <c r="D1055" s="2" t="s">
        <v>986</v>
      </c>
      <c r="E1055" s="2" t="s">
        <v>239</v>
      </c>
      <c r="F1055" s="2" t="n">
        <v>1</v>
      </c>
      <c r="G1055" s="2" t="s">
        <v>1046</v>
      </c>
    </row>
    <row r="1056" customFormat="false" ht="15" hidden="false" customHeight="false" outlineLevel="0" collapsed="false">
      <c r="A1056" s="2" t="s">
        <v>2108</v>
      </c>
      <c r="B1056" s="2" t="s">
        <v>957</v>
      </c>
      <c r="C1056" s="2" t="s">
        <v>1043</v>
      </c>
      <c r="D1056" s="2" t="s">
        <v>989</v>
      </c>
      <c r="E1056" s="2" t="s">
        <v>323</v>
      </c>
      <c r="F1056" s="2" t="n">
        <v>1</v>
      </c>
      <c r="G1056" s="2" t="s">
        <v>1048</v>
      </c>
    </row>
    <row r="1057" customFormat="false" ht="15" hidden="false" customHeight="false" outlineLevel="0" collapsed="false">
      <c r="A1057" s="2" t="s">
        <v>2109</v>
      </c>
      <c r="B1057" s="2" t="s">
        <v>957</v>
      </c>
      <c r="C1057" s="2" t="s">
        <v>1043</v>
      </c>
      <c r="D1057" s="2" t="s">
        <v>992</v>
      </c>
      <c r="E1057" s="2" t="s">
        <v>335</v>
      </c>
      <c r="F1057" s="2" t="n">
        <v>1</v>
      </c>
      <c r="G1057" s="2" t="s">
        <v>1050</v>
      </c>
    </row>
    <row r="1058" customFormat="false" ht="15" hidden="false" customHeight="false" outlineLevel="0" collapsed="false">
      <c r="A1058" s="2" t="s">
        <v>2110</v>
      </c>
      <c r="B1058" s="2" t="s">
        <v>957</v>
      </c>
      <c r="C1058" s="2" t="s">
        <v>1052</v>
      </c>
      <c r="D1058" s="2" t="s">
        <v>983</v>
      </c>
      <c r="E1058" s="2" t="s">
        <v>211</v>
      </c>
      <c r="F1058" s="2" t="n">
        <v>1</v>
      </c>
      <c r="G1058" s="2" t="s">
        <v>1053</v>
      </c>
    </row>
    <row r="1059" customFormat="false" ht="15" hidden="false" customHeight="false" outlineLevel="0" collapsed="false">
      <c r="A1059" s="2" t="s">
        <v>2111</v>
      </c>
      <c r="B1059" s="2" t="s">
        <v>957</v>
      </c>
      <c r="C1059" s="2" t="s">
        <v>1052</v>
      </c>
      <c r="D1059" s="2" t="s">
        <v>986</v>
      </c>
      <c r="E1059" s="2" t="s">
        <v>347</v>
      </c>
      <c r="F1059" s="2" t="n">
        <v>1</v>
      </c>
      <c r="G1059" s="2" t="s">
        <v>1055</v>
      </c>
    </row>
    <row r="1060" customFormat="false" ht="15" hidden="false" customHeight="false" outlineLevel="0" collapsed="false">
      <c r="A1060" s="2" t="s">
        <v>2112</v>
      </c>
      <c r="B1060" s="2" t="s">
        <v>957</v>
      </c>
      <c r="C1060" s="2" t="s">
        <v>1052</v>
      </c>
      <c r="D1060" s="2" t="s">
        <v>989</v>
      </c>
      <c r="E1060" s="2" t="s">
        <v>369</v>
      </c>
      <c r="F1060" s="2" t="n">
        <v>1</v>
      </c>
      <c r="G1060" s="2" t="s">
        <v>1057</v>
      </c>
    </row>
    <row r="1061" customFormat="false" ht="15" hidden="false" customHeight="false" outlineLevel="0" collapsed="false">
      <c r="A1061" s="2" t="s">
        <v>2113</v>
      </c>
      <c r="B1061" s="2" t="s">
        <v>957</v>
      </c>
      <c r="C1061" s="2" t="s">
        <v>1128</v>
      </c>
      <c r="D1061" s="2" t="s">
        <v>983</v>
      </c>
      <c r="E1061" s="2" t="s">
        <v>357</v>
      </c>
      <c r="F1061" s="2" t="n">
        <v>1</v>
      </c>
      <c r="G1061" s="2" t="s">
        <v>1129</v>
      </c>
    </row>
    <row r="1062" customFormat="false" ht="15" hidden="false" customHeight="false" outlineLevel="0" collapsed="false">
      <c r="A1062" s="2" t="s">
        <v>2114</v>
      </c>
      <c r="B1062" s="2" t="s">
        <v>957</v>
      </c>
      <c r="C1062" s="2" t="s">
        <v>1128</v>
      </c>
      <c r="D1062" s="2" t="s">
        <v>986</v>
      </c>
      <c r="E1062" s="2" t="s">
        <v>369</v>
      </c>
      <c r="F1062" s="2" t="n">
        <v>1</v>
      </c>
      <c r="G1062" s="2" t="s">
        <v>1131</v>
      </c>
    </row>
    <row r="1063" customFormat="false" ht="15" hidden="false" customHeight="false" outlineLevel="0" collapsed="false">
      <c r="A1063" s="2" t="s">
        <v>2115</v>
      </c>
      <c r="B1063" s="2" t="s">
        <v>957</v>
      </c>
      <c r="C1063" s="2" t="s">
        <v>1128</v>
      </c>
      <c r="D1063" s="2" t="s">
        <v>989</v>
      </c>
      <c r="E1063" s="2" t="s">
        <v>286</v>
      </c>
      <c r="F1063" s="2" t="n">
        <v>1</v>
      </c>
      <c r="G1063" s="2" t="s">
        <v>1133</v>
      </c>
    </row>
    <row r="1064" customFormat="false" ht="15" hidden="false" customHeight="false" outlineLevel="0" collapsed="false">
      <c r="A1064" s="2" t="s">
        <v>2116</v>
      </c>
      <c r="B1064" s="2" t="s">
        <v>957</v>
      </c>
      <c r="C1064" s="2" t="s">
        <v>1061</v>
      </c>
      <c r="D1064" s="2" t="s">
        <v>986</v>
      </c>
      <c r="E1064" s="2" t="s">
        <v>221</v>
      </c>
      <c r="F1064" s="2" t="n">
        <v>1</v>
      </c>
      <c r="G1064" s="2" t="s">
        <v>1064</v>
      </c>
    </row>
    <row r="1065" customFormat="false" ht="15" hidden="false" customHeight="false" outlineLevel="0" collapsed="false">
      <c r="A1065" s="2" t="s">
        <v>2117</v>
      </c>
      <c r="B1065" s="2" t="s">
        <v>957</v>
      </c>
      <c r="C1065" s="2" t="s">
        <v>1061</v>
      </c>
      <c r="D1065" s="2" t="s">
        <v>989</v>
      </c>
      <c r="E1065" s="2" t="s">
        <v>233</v>
      </c>
      <c r="F1065" s="2" t="n">
        <v>1</v>
      </c>
      <c r="G1065" s="2" t="s">
        <v>1066</v>
      </c>
    </row>
    <row r="1066" customFormat="false" ht="15" hidden="false" customHeight="false" outlineLevel="0" collapsed="false">
      <c r="A1066" s="2" t="s">
        <v>2118</v>
      </c>
      <c r="B1066" s="2" t="s">
        <v>957</v>
      </c>
      <c r="C1066" s="2" t="s">
        <v>1061</v>
      </c>
      <c r="D1066" s="2" t="s">
        <v>992</v>
      </c>
      <c r="E1066" s="2" t="s">
        <v>335</v>
      </c>
      <c r="F1066" s="2" t="n">
        <v>1</v>
      </c>
      <c r="G1066" s="2" t="s">
        <v>1068</v>
      </c>
    </row>
    <row r="1067" customFormat="false" ht="15" hidden="false" customHeight="false" outlineLevel="0" collapsed="false">
      <c r="A1067" s="2" t="s">
        <v>2119</v>
      </c>
      <c r="B1067" s="2" t="s">
        <v>957</v>
      </c>
      <c r="C1067" s="2" t="s">
        <v>1071</v>
      </c>
      <c r="D1067" s="2" t="s">
        <v>986</v>
      </c>
      <c r="E1067" s="2" t="s">
        <v>392</v>
      </c>
      <c r="F1067" s="2" t="n">
        <v>1</v>
      </c>
      <c r="G1067" s="2" t="s">
        <v>1072</v>
      </c>
    </row>
    <row r="1068" customFormat="false" ht="15" hidden="false" customHeight="false" outlineLevel="0" collapsed="false">
      <c r="A1068" s="2" t="s">
        <v>2120</v>
      </c>
      <c r="B1068" s="2" t="s">
        <v>957</v>
      </c>
      <c r="C1068" s="2" t="s">
        <v>1071</v>
      </c>
      <c r="D1068" s="2" t="s">
        <v>989</v>
      </c>
      <c r="E1068" s="2" t="s">
        <v>418</v>
      </c>
      <c r="F1068" s="2" t="n">
        <v>1</v>
      </c>
      <c r="G1068" s="2" t="s">
        <v>1074</v>
      </c>
    </row>
    <row r="1069" customFormat="false" ht="15" hidden="false" customHeight="false" outlineLevel="0" collapsed="false">
      <c r="A1069" s="2" t="s">
        <v>2121</v>
      </c>
      <c r="B1069" s="2" t="s">
        <v>961</v>
      </c>
      <c r="C1069" s="2" t="s">
        <v>1085</v>
      </c>
      <c r="D1069" s="2" t="s">
        <v>986</v>
      </c>
      <c r="E1069" s="2" t="s">
        <v>250</v>
      </c>
      <c r="F1069" s="2" t="n">
        <v>1</v>
      </c>
      <c r="G1069" s="2" t="s">
        <v>1088</v>
      </c>
    </row>
    <row r="1070" customFormat="false" ht="15" hidden="false" customHeight="false" outlineLevel="0" collapsed="false">
      <c r="A1070" s="2" t="s">
        <v>2122</v>
      </c>
      <c r="B1070" s="2" t="s">
        <v>961</v>
      </c>
      <c r="C1070" s="2" t="s">
        <v>1085</v>
      </c>
      <c r="D1070" s="2" t="s">
        <v>989</v>
      </c>
      <c r="E1070" s="2" t="s">
        <v>262</v>
      </c>
      <c r="F1070" s="2" t="n">
        <v>1</v>
      </c>
      <c r="G1070" s="2" t="s">
        <v>1090</v>
      </c>
    </row>
    <row r="1071" customFormat="false" ht="15" hidden="false" customHeight="false" outlineLevel="0" collapsed="false">
      <c r="A1071" s="2" t="s">
        <v>2123</v>
      </c>
      <c r="B1071" s="2" t="s">
        <v>961</v>
      </c>
      <c r="C1071" s="2" t="s">
        <v>1085</v>
      </c>
      <c r="D1071" s="2" t="s">
        <v>992</v>
      </c>
      <c r="E1071" s="2" t="s">
        <v>490</v>
      </c>
      <c r="F1071" s="2" t="n">
        <v>1</v>
      </c>
      <c r="G1071" s="2" t="s">
        <v>1092</v>
      </c>
    </row>
    <row r="1072" customFormat="false" ht="15" hidden="false" customHeight="false" outlineLevel="0" collapsed="false">
      <c r="A1072" s="2" t="s">
        <v>2124</v>
      </c>
      <c r="B1072" s="2" t="s">
        <v>961</v>
      </c>
      <c r="C1072" s="2" t="s">
        <v>982</v>
      </c>
      <c r="D1072" s="2" t="s">
        <v>983</v>
      </c>
      <c r="E1072" s="2" t="s">
        <v>274</v>
      </c>
      <c r="F1072" s="2" t="n">
        <v>1</v>
      </c>
      <c r="G1072" s="2" t="s">
        <v>984</v>
      </c>
    </row>
    <row r="1073" customFormat="false" ht="15" hidden="false" customHeight="false" outlineLevel="0" collapsed="false">
      <c r="A1073" s="2" t="s">
        <v>2125</v>
      </c>
      <c r="B1073" s="2" t="s">
        <v>961</v>
      </c>
      <c r="C1073" s="2" t="s">
        <v>982</v>
      </c>
      <c r="D1073" s="2" t="s">
        <v>986</v>
      </c>
      <c r="E1073" s="2" t="s">
        <v>298</v>
      </c>
      <c r="F1073" s="2" t="n">
        <v>1</v>
      </c>
      <c r="G1073" s="2" t="s">
        <v>987</v>
      </c>
    </row>
    <row r="1074" customFormat="false" ht="15" hidden="false" customHeight="false" outlineLevel="0" collapsed="false">
      <c r="A1074" s="2" t="s">
        <v>2126</v>
      </c>
      <c r="B1074" s="2" t="s">
        <v>961</v>
      </c>
      <c r="C1074" s="2" t="s">
        <v>982</v>
      </c>
      <c r="D1074" s="2" t="s">
        <v>989</v>
      </c>
      <c r="E1074" s="2" t="s">
        <v>262</v>
      </c>
      <c r="F1074" s="2" t="n">
        <v>1</v>
      </c>
      <c r="G1074" s="2" t="s">
        <v>990</v>
      </c>
    </row>
    <row r="1075" customFormat="false" ht="15" hidden="false" customHeight="false" outlineLevel="0" collapsed="false">
      <c r="A1075" s="2" t="s">
        <v>2127</v>
      </c>
      <c r="B1075" s="2" t="s">
        <v>961</v>
      </c>
      <c r="C1075" s="2" t="s">
        <v>982</v>
      </c>
      <c r="D1075" s="2" t="s">
        <v>992</v>
      </c>
      <c r="E1075" s="2" t="s">
        <v>496</v>
      </c>
      <c r="F1075" s="2" t="n">
        <v>1</v>
      </c>
      <c r="G1075" s="2" t="s">
        <v>993</v>
      </c>
    </row>
    <row r="1076" customFormat="false" ht="15" hidden="false" customHeight="false" outlineLevel="0" collapsed="false">
      <c r="A1076" s="2" t="s">
        <v>2128</v>
      </c>
      <c r="B1076" s="2" t="s">
        <v>961</v>
      </c>
      <c r="C1076" s="2" t="s">
        <v>996</v>
      </c>
      <c r="D1076" s="2" t="s">
        <v>986</v>
      </c>
      <c r="E1076" s="2" t="s">
        <v>280</v>
      </c>
      <c r="F1076" s="2" t="n">
        <v>1</v>
      </c>
      <c r="G1076" s="2" t="s">
        <v>999</v>
      </c>
    </row>
    <row r="1077" customFormat="false" ht="15" hidden="false" customHeight="false" outlineLevel="0" collapsed="false">
      <c r="A1077" s="2" t="s">
        <v>2129</v>
      </c>
      <c r="B1077" s="2" t="s">
        <v>961</v>
      </c>
      <c r="C1077" s="2" t="s">
        <v>996</v>
      </c>
      <c r="D1077" s="2" t="s">
        <v>989</v>
      </c>
      <c r="E1077" s="2" t="s">
        <v>399</v>
      </c>
      <c r="F1077" s="2" t="n">
        <v>1</v>
      </c>
      <c r="G1077" s="2" t="s">
        <v>1001</v>
      </c>
    </row>
    <row r="1078" customFormat="false" ht="15" hidden="false" customHeight="false" outlineLevel="0" collapsed="false">
      <c r="A1078" s="2" t="s">
        <v>2130</v>
      </c>
      <c r="B1078" s="2" t="s">
        <v>961</v>
      </c>
      <c r="C1078" s="2" t="s">
        <v>996</v>
      </c>
      <c r="D1078" s="2" t="s">
        <v>992</v>
      </c>
      <c r="E1078" s="2" t="s">
        <v>477</v>
      </c>
      <c r="F1078" s="2" t="n">
        <v>1</v>
      </c>
      <c r="G1078" s="2" t="s">
        <v>1156</v>
      </c>
    </row>
    <row r="1079" customFormat="false" ht="15" hidden="false" customHeight="false" outlineLevel="0" collapsed="false">
      <c r="A1079" s="2" t="s">
        <v>2131</v>
      </c>
      <c r="B1079" s="2" t="s">
        <v>961</v>
      </c>
      <c r="C1079" s="2" t="s">
        <v>1010</v>
      </c>
      <c r="D1079" s="2" t="s">
        <v>986</v>
      </c>
      <c r="E1079" s="2" t="s">
        <v>274</v>
      </c>
      <c r="F1079" s="2" t="n">
        <v>1</v>
      </c>
      <c r="G1079" s="2" t="s">
        <v>1013</v>
      </c>
    </row>
    <row r="1080" customFormat="false" ht="15" hidden="false" customHeight="false" outlineLevel="0" collapsed="false">
      <c r="A1080" s="2" t="s">
        <v>2132</v>
      </c>
      <c r="B1080" s="2" t="s">
        <v>961</v>
      </c>
      <c r="C1080" s="2" t="s">
        <v>1010</v>
      </c>
      <c r="D1080" s="2" t="s">
        <v>989</v>
      </c>
      <c r="E1080" s="2" t="s">
        <v>412</v>
      </c>
      <c r="F1080" s="2" t="n">
        <v>1</v>
      </c>
      <c r="G1080" s="2" t="s">
        <v>1015</v>
      </c>
    </row>
    <row r="1081" customFormat="false" ht="15" hidden="false" customHeight="false" outlineLevel="0" collapsed="false">
      <c r="A1081" s="2" t="s">
        <v>2133</v>
      </c>
      <c r="B1081" s="2" t="s">
        <v>961</v>
      </c>
      <c r="C1081" s="2" t="s">
        <v>1019</v>
      </c>
      <c r="D1081" s="2" t="s">
        <v>983</v>
      </c>
      <c r="E1081" s="2" t="s">
        <v>357</v>
      </c>
      <c r="F1081" s="2" t="n">
        <v>1</v>
      </c>
      <c r="G1081" s="2" t="s">
        <v>1107</v>
      </c>
    </row>
    <row r="1082" customFormat="false" ht="15" hidden="false" customHeight="false" outlineLevel="0" collapsed="false">
      <c r="A1082" s="2" t="s">
        <v>2134</v>
      </c>
      <c r="B1082" s="2" t="s">
        <v>961</v>
      </c>
      <c r="C1082" s="2" t="s">
        <v>1019</v>
      </c>
      <c r="D1082" s="2" t="s">
        <v>986</v>
      </c>
      <c r="E1082" s="2" t="s">
        <v>211</v>
      </c>
      <c r="F1082" s="2" t="n">
        <v>1</v>
      </c>
      <c r="G1082" s="2" t="s">
        <v>1020</v>
      </c>
    </row>
    <row r="1083" customFormat="false" ht="15" hidden="false" customHeight="false" outlineLevel="0" collapsed="false">
      <c r="A1083" s="2" t="s">
        <v>2135</v>
      </c>
      <c r="B1083" s="2" t="s">
        <v>961</v>
      </c>
      <c r="C1083" s="2" t="s">
        <v>1019</v>
      </c>
      <c r="D1083" s="2" t="s">
        <v>992</v>
      </c>
      <c r="E1083" s="2" t="s">
        <v>490</v>
      </c>
      <c r="F1083" s="2" t="n">
        <v>1</v>
      </c>
      <c r="G1083" s="2" t="s">
        <v>1024</v>
      </c>
    </row>
    <row r="1084" customFormat="false" ht="15" hidden="false" customHeight="false" outlineLevel="0" collapsed="false">
      <c r="A1084" s="2" t="s">
        <v>2136</v>
      </c>
      <c r="B1084" s="2" t="s">
        <v>961</v>
      </c>
      <c r="C1084" s="2" t="s">
        <v>1026</v>
      </c>
      <c r="D1084" s="2" t="s">
        <v>986</v>
      </c>
      <c r="E1084" s="2" t="s">
        <v>369</v>
      </c>
      <c r="F1084" s="2" t="n">
        <v>1</v>
      </c>
      <c r="G1084" s="2" t="s">
        <v>1029</v>
      </c>
    </row>
    <row r="1085" customFormat="false" ht="15" hidden="false" customHeight="false" outlineLevel="0" collapsed="false">
      <c r="A1085" s="2" t="s">
        <v>2137</v>
      </c>
      <c r="B1085" s="2" t="s">
        <v>961</v>
      </c>
      <c r="C1085" s="2" t="s">
        <v>1026</v>
      </c>
      <c r="D1085" s="2" t="s">
        <v>989</v>
      </c>
      <c r="E1085" s="2" t="s">
        <v>268</v>
      </c>
      <c r="F1085" s="2" t="n">
        <v>1</v>
      </c>
      <c r="G1085" s="2" t="s">
        <v>1031</v>
      </c>
    </row>
    <row r="1086" customFormat="false" ht="15" hidden="false" customHeight="false" outlineLevel="0" collapsed="false">
      <c r="A1086" s="2" t="s">
        <v>2138</v>
      </c>
      <c r="B1086" s="2" t="s">
        <v>961</v>
      </c>
      <c r="C1086" s="2" t="s">
        <v>1033</v>
      </c>
      <c r="D1086" s="2" t="s">
        <v>983</v>
      </c>
      <c r="E1086" s="2" t="s">
        <v>335</v>
      </c>
      <c r="F1086" s="2" t="n">
        <v>1</v>
      </c>
      <c r="G1086" s="2" t="s">
        <v>1034</v>
      </c>
    </row>
    <row r="1087" customFormat="false" ht="15" hidden="false" customHeight="false" outlineLevel="0" collapsed="false">
      <c r="A1087" s="2" t="s">
        <v>2139</v>
      </c>
      <c r="B1087" s="2" t="s">
        <v>961</v>
      </c>
      <c r="C1087" s="2" t="s">
        <v>1033</v>
      </c>
      <c r="D1087" s="2" t="s">
        <v>986</v>
      </c>
      <c r="E1087" s="2" t="s">
        <v>239</v>
      </c>
      <c r="F1087" s="2" t="n">
        <v>1</v>
      </c>
      <c r="G1087" s="2" t="s">
        <v>1036</v>
      </c>
    </row>
    <row r="1088" customFormat="false" ht="15" hidden="false" customHeight="false" outlineLevel="0" collapsed="false">
      <c r="A1088" s="2" t="s">
        <v>2140</v>
      </c>
      <c r="B1088" s="2" t="s">
        <v>961</v>
      </c>
      <c r="C1088" s="2" t="s">
        <v>1033</v>
      </c>
      <c r="D1088" s="2" t="s">
        <v>989</v>
      </c>
      <c r="E1088" s="2" t="s">
        <v>448</v>
      </c>
      <c r="F1088" s="2" t="n">
        <v>1</v>
      </c>
      <c r="G1088" s="2" t="s">
        <v>1038</v>
      </c>
    </row>
    <row r="1089" customFormat="false" ht="15" hidden="false" customHeight="false" outlineLevel="0" collapsed="false">
      <c r="A1089" s="2" t="s">
        <v>2141</v>
      </c>
      <c r="B1089" s="2" t="s">
        <v>961</v>
      </c>
      <c r="C1089" s="2" t="s">
        <v>1033</v>
      </c>
      <c r="D1089" s="2" t="s">
        <v>992</v>
      </c>
      <c r="E1089" s="2" t="s">
        <v>472</v>
      </c>
      <c r="F1089" s="2" t="n">
        <v>1</v>
      </c>
      <c r="G1089" s="2" t="s">
        <v>1040</v>
      </c>
    </row>
    <row r="1090" customFormat="false" ht="15" hidden="false" customHeight="false" outlineLevel="0" collapsed="false">
      <c r="A1090" s="2" t="s">
        <v>2142</v>
      </c>
      <c r="B1090" s="2" t="s">
        <v>961</v>
      </c>
      <c r="C1090" s="2" t="s">
        <v>1043</v>
      </c>
      <c r="D1090" s="2" t="s">
        <v>983</v>
      </c>
      <c r="E1090" s="2" t="s">
        <v>304</v>
      </c>
      <c r="F1090" s="2" t="n">
        <v>1</v>
      </c>
      <c r="G1090" s="2" t="s">
        <v>1044</v>
      </c>
    </row>
    <row r="1091" customFormat="false" ht="15" hidden="false" customHeight="false" outlineLevel="0" collapsed="false">
      <c r="A1091" s="2" t="s">
        <v>2143</v>
      </c>
      <c r="B1091" s="2" t="s">
        <v>961</v>
      </c>
      <c r="C1091" s="2" t="s">
        <v>1043</v>
      </c>
      <c r="D1091" s="2" t="s">
        <v>986</v>
      </c>
      <c r="E1091" s="2" t="s">
        <v>352</v>
      </c>
      <c r="F1091" s="2" t="n">
        <v>1</v>
      </c>
      <c r="G1091" s="2" t="s">
        <v>1046</v>
      </c>
    </row>
    <row r="1092" customFormat="false" ht="15" hidden="false" customHeight="false" outlineLevel="0" collapsed="false">
      <c r="A1092" s="2" t="s">
        <v>2144</v>
      </c>
      <c r="B1092" s="2" t="s">
        <v>961</v>
      </c>
      <c r="C1092" s="2" t="s">
        <v>1043</v>
      </c>
      <c r="D1092" s="2" t="s">
        <v>989</v>
      </c>
      <c r="E1092" s="2" t="s">
        <v>392</v>
      </c>
      <c r="F1092" s="2" t="n">
        <v>1</v>
      </c>
      <c r="G1092" s="2" t="s">
        <v>1048</v>
      </c>
    </row>
    <row r="1093" customFormat="false" ht="15" hidden="false" customHeight="false" outlineLevel="0" collapsed="false">
      <c r="A1093" s="2" t="s">
        <v>2145</v>
      </c>
      <c r="B1093" s="2" t="s">
        <v>961</v>
      </c>
      <c r="C1093" s="2" t="s">
        <v>1043</v>
      </c>
      <c r="D1093" s="2" t="s">
        <v>992</v>
      </c>
      <c r="E1093" s="2" t="s">
        <v>459</v>
      </c>
      <c r="F1093" s="2" t="n">
        <v>1</v>
      </c>
      <c r="G1093" s="2" t="s">
        <v>1050</v>
      </c>
    </row>
    <row r="1094" customFormat="false" ht="15" hidden="false" customHeight="false" outlineLevel="0" collapsed="false">
      <c r="A1094" s="2" t="s">
        <v>2146</v>
      </c>
      <c r="B1094" s="2" t="s">
        <v>961</v>
      </c>
      <c r="C1094" s="2" t="s">
        <v>1052</v>
      </c>
      <c r="D1094" s="2" t="s">
        <v>986</v>
      </c>
      <c r="E1094" s="2" t="s">
        <v>298</v>
      </c>
      <c r="F1094" s="2" t="n">
        <v>1</v>
      </c>
      <c r="G1094" s="2" t="s">
        <v>1055</v>
      </c>
    </row>
    <row r="1095" customFormat="false" ht="15" hidden="false" customHeight="false" outlineLevel="0" collapsed="false">
      <c r="A1095" s="2" t="s">
        <v>2147</v>
      </c>
      <c r="B1095" s="2" t="s">
        <v>961</v>
      </c>
      <c r="C1095" s="2" t="s">
        <v>1128</v>
      </c>
      <c r="D1095" s="2" t="s">
        <v>983</v>
      </c>
      <c r="E1095" s="2" t="s">
        <v>484</v>
      </c>
      <c r="F1095" s="2" t="n">
        <v>1</v>
      </c>
      <c r="G1095" s="2" t="s">
        <v>1129</v>
      </c>
    </row>
    <row r="1096" customFormat="false" ht="15" hidden="false" customHeight="false" outlineLevel="0" collapsed="false">
      <c r="A1096" s="2" t="s">
        <v>2148</v>
      </c>
      <c r="B1096" s="2" t="s">
        <v>961</v>
      </c>
      <c r="C1096" s="2" t="s">
        <v>1128</v>
      </c>
      <c r="D1096" s="2" t="s">
        <v>986</v>
      </c>
      <c r="E1096" s="2" t="s">
        <v>227</v>
      </c>
      <c r="F1096" s="2" t="n">
        <v>1</v>
      </c>
      <c r="G1096" s="2" t="s">
        <v>1131</v>
      </c>
    </row>
    <row r="1097" customFormat="false" ht="15" hidden="false" customHeight="false" outlineLevel="0" collapsed="false">
      <c r="A1097" s="2" t="s">
        <v>2149</v>
      </c>
      <c r="B1097" s="2" t="s">
        <v>961</v>
      </c>
      <c r="C1097" s="2" t="s">
        <v>1128</v>
      </c>
      <c r="D1097" s="2" t="s">
        <v>992</v>
      </c>
      <c r="E1097" s="2" t="s">
        <v>466</v>
      </c>
      <c r="F1097" s="2" t="n">
        <v>1</v>
      </c>
      <c r="G1097" s="2" t="s">
        <v>1135</v>
      </c>
    </row>
    <row r="1098" customFormat="false" ht="15" hidden="false" customHeight="false" outlineLevel="0" collapsed="false">
      <c r="A1098" s="2" t="s">
        <v>2150</v>
      </c>
      <c r="B1098" s="2" t="s">
        <v>961</v>
      </c>
      <c r="C1098" s="2" t="s">
        <v>1061</v>
      </c>
      <c r="D1098" s="2" t="s">
        <v>986</v>
      </c>
      <c r="E1098" s="2" t="s">
        <v>399</v>
      </c>
      <c r="F1098" s="2" t="n">
        <v>1</v>
      </c>
      <c r="G1098" s="2" t="s">
        <v>1064</v>
      </c>
    </row>
    <row r="1099" customFormat="false" ht="15" hidden="false" customHeight="false" outlineLevel="0" collapsed="false">
      <c r="A1099" s="2" t="s">
        <v>2151</v>
      </c>
      <c r="B1099" s="2" t="s">
        <v>961</v>
      </c>
      <c r="C1099" s="2" t="s">
        <v>1061</v>
      </c>
      <c r="D1099" s="2" t="s">
        <v>989</v>
      </c>
      <c r="E1099" s="2" t="s">
        <v>262</v>
      </c>
      <c r="F1099" s="2" t="n">
        <v>1</v>
      </c>
      <c r="G1099" s="2" t="s">
        <v>1066</v>
      </c>
    </row>
    <row r="1100" customFormat="false" ht="15" hidden="false" customHeight="false" outlineLevel="0" collapsed="false">
      <c r="A1100" s="2" t="s">
        <v>2152</v>
      </c>
      <c r="B1100" s="2" t="s">
        <v>961</v>
      </c>
      <c r="C1100" s="2" t="s">
        <v>1061</v>
      </c>
      <c r="D1100" s="2" t="s">
        <v>992</v>
      </c>
      <c r="E1100" s="2" t="s">
        <v>472</v>
      </c>
      <c r="F1100" s="2" t="n">
        <v>1</v>
      </c>
      <c r="G1100" s="2" t="s">
        <v>1068</v>
      </c>
    </row>
    <row r="1101" customFormat="false" ht="15" hidden="false" customHeight="false" outlineLevel="0" collapsed="false">
      <c r="A1101" s="2" t="s">
        <v>2153</v>
      </c>
      <c r="B1101" s="2" t="s">
        <v>961</v>
      </c>
      <c r="C1101" s="2" t="s">
        <v>1071</v>
      </c>
      <c r="D1101" s="2" t="s">
        <v>983</v>
      </c>
      <c r="E1101" s="2" t="s">
        <v>221</v>
      </c>
      <c r="F1101" s="2" t="n">
        <v>1</v>
      </c>
      <c r="G1101" s="2" t="s">
        <v>1138</v>
      </c>
    </row>
    <row r="1102" customFormat="false" ht="15" hidden="false" customHeight="false" outlineLevel="0" collapsed="false">
      <c r="A1102" s="2" t="s">
        <v>2154</v>
      </c>
      <c r="B1102" s="2" t="s">
        <v>961</v>
      </c>
      <c r="C1102" s="2" t="s">
        <v>1071</v>
      </c>
      <c r="D1102" s="2" t="s">
        <v>986</v>
      </c>
      <c r="E1102" s="2" t="s">
        <v>239</v>
      </c>
      <c r="F1102" s="2" t="n">
        <v>1</v>
      </c>
      <c r="G1102" s="2" t="s">
        <v>1072</v>
      </c>
    </row>
    <row r="1103" customFormat="false" ht="15" hidden="false" customHeight="false" outlineLevel="0" collapsed="false">
      <c r="A1103" s="2" t="s">
        <v>2155</v>
      </c>
      <c r="B1103" s="2" t="s">
        <v>961</v>
      </c>
      <c r="C1103" s="2" t="s">
        <v>1071</v>
      </c>
      <c r="D1103" s="2" t="s">
        <v>989</v>
      </c>
      <c r="E1103" s="2" t="s">
        <v>280</v>
      </c>
      <c r="F1103" s="2" t="n">
        <v>1</v>
      </c>
      <c r="G1103" s="2" t="s">
        <v>1074</v>
      </c>
    </row>
    <row r="1104" customFormat="false" ht="15" hidden="false" customHeight="false" outlineLevel="0" collapsed="false">
      <c r="A1104" s="2" t="s">
        <v>2156</v>
      </c>
      <c r="B1104" s="2" t="s">
        <v>961</v>
      </c>
      <c r="C1104" s="2" t="s">
        <v>1071</v>
      </c>
      <c r="D1104" s="2" t="s">
        <v>992</v>
      </c>
      <c r="E1104" s="2" t="s">
        <v>335</v>
      </c>
      <c r="F1104" s="2" t="n">
        <v>1</v>
      </c>
      <c r="G1104" s="2" t="s">
        <v>1141</v>
      </c>
    </row>
    <row r="1105" customFormat="false" ht="15" hidden="false" customHeight="false" outlineLevel="0" collapsed="false">
      <c r="A1105" s="2" t="s">
        <v>2157</v>
      </c>
      <c r="B1105" s="2" t="s">
        <v>961</v>
      </c>
      <c r="C1105" s="2" t="s">
        <v>220</v>
      </c>
      <c r="D1105" s="2" t="s">
        <v>983</v>
      </c>
      <c r="E1105" s="2" t="s">
        <v>292</v>
      </c>
      <c r="F1105" s="2" t="n">
        <v>1</v>
      </c>
      <c r="G1105" s="2" t="s">
        <v>1076</v>
      </c>
    </row>
    <row r="1106" customFormat="false" ht="15" hidden="false" customHeight="false" outlineLevel="0" collapsed="false">
      <c r="A1106" s="2" t="s">
        <v>2158</v>
      </c>
      <c r="B1106" s="2" t="s">
        <v>961</v>
      </c>
      <c r="C1106" s="2" t="s">
        <v>220</v>
      </c>
      <c r="D1106" s="2" t="s">
        <v>986</v>
      </c>
      <c r="E1106" s="2" t="s">
        <v>274</v>
      </c>
      <c r="F1106" s="2" t="n">
        <v>1</v>
      </c>
      <c r="G1106" s="2" t="s">
        <v>1078</v>
      </c>
    </row>
    <row r="1107" customFormat="false" ht="15" hidden="false" customHeight="false" outlineLevel="0" collapsed="false">
      <c r="A1107" s="2" t="s">
        <v>2159</v>
      </c>
      <c r="B1107" s="2" t="s">
        <v>961</v>
      </c>
      <c r="C1107" s="2" t="s">
        <v>220</v>
      </c>
      <c r="D1107" s="2" t="s">
        <v>989</v>
      </c>
      <c r="E1107" s="2" t="s">
        <v>292</v>
      </c>
      <c r="F1107" s="2" t="n">
        <v>1</v>
      </c>
      <c r="G1107" s="2" t="s">
        <v>1080</v>
      </c>
    </row>
    <row r="1108" customFormat="false" ht="15" hidden="false" customHeight="false" outlineLevel="0" collapsed="false">
      <c r="A1108" s="2" t="s">
        <v>2160</v>
      </c>
      <c r="B1108" s="2" t="s">
        <v>961</v>
      </c>
      <c r="C1108" s="2" t="s">
        <v>220</v>
      </c>
      <c r="D1108" s="2" t="s">
        <v>992</v>
      </c>
      <c r="E1108" s="2" t="s">
        <v>459</v>
      </c>
      <c r="F1108" s="2" t="n">
        <v>1</v>
      </c>
      <c r="G1108" s="2" t="s">
        <v>1082</v>
      </c>
    </row>
    <row r="1109" customFormat="false" ht="15" hidden="false" customHeight="false" outlineLevel="0" collapsed="false">
      <c r="A1109" s="2" t="s">
        <v>2161</v>
      </c>
      <c r="B1109" s="2" t="s">
        <v>961</v>
      </c>
      <c r="C1109" s="2" t="s">
        <v>220</v>
      </c>
      <c r="D1109" s="2" t="s">
        <v>992</v>
      </c>
      <c r="E1109" s="2" t="s">
        <v>466</v>
      </c>
      <c r="F1109" s="2" t="n">
        <v>1</v>
      </c>
      <c r="G1109" s="2" t="s">
        <v>1082</v>
      </c>
    </row>
  </sheetData>
  <dataValidations count="4"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D2:D1109" type="list">
      <formula1>"breakfast,lunch,dinner,snack"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E2:E1109" type="list">
      <formula1>menus!$A$2:$A$50</formula1>
      <formula2>0</formula2>
    </dataValidation>
    <dataValidation allowBlank="false" error="เลือกจากค่ามาตรฐานเท่านั้น" errorStyle="stop" errorTitle="ค่าไม่ถูกต้อง" operator="between" showDropDown="false" showErrorMessage="true" showInputMessage="false" sqref="B2:B1109" type="list">
      <formula1>users!$A$2:$A$26</formula1>
      <formula2>0</formula2>
    </dataValidation>
    <dataValidation allowBlank="false" errorStyle="stop" operator="between" showDropDown="false" showErrorMessage="false" showInputMessage="false" sqref="F2:F1109" type="decimal">
      <formula1>0.1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2026-09-21T16:38:54Z</dcterms:created>
  <dc:creator>openpyxl</dc:creator>
  <dc:description/>
  <dc:language>en-US</dc:language>
  <cp:lastModifiedBy/>
  <dcterms:modified xsi:type="dcterms:W3CDTF">2026-09-21T16:38:54Z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